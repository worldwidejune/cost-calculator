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une/Desktop/workbuddy/"/>
    </mc:Choice>
  </mc:AlternateContent>
  <xr:revisionPtr revIDLastSave="0" documentId="13_ncr:1_{EFE74AAD-6AFB-2444-BB2A-DC14928D0EB6}" xr6:coauthVersionLast="47" xr6:coauthVersionMax="47" xr10:uidLastSave="{00000000-0000-0000-0000-000000000000}"/>
  <bookViews>
    <workbookView xWindow="33500" yWindow="3240" windowWidth="29400" windowHeight="17400" xr2:uid="{00000000-000D-0000-FFFF-FFFF00000000}"/>
  </bookViews>
  <sheets>
    <sheet name="国际差旅" sheetId="1" r:id="rId1"/>
    <sheet name="国际派驻" sheetId="2" r:id="rId2"/>
    <sheet name="LTB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" i="4" l="1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F46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F18" i="4"/>
  <c r="F17" i="4"/>
  <c r="H10" i="4" a="1"/>
  <c r="H11" i="4" s="1"/>
  <c r="D10" i="4" a="1"/>
  <c r="D10" i="4" s="1"/>
  <c r="D8" i="4" a="1"/>
  <c r="D8" i="4" s="1"/>
  <c r="F10" i="4" s="1" a="1"/>
  <c r="F10" i="4" s="1"/>
  <c r="D12" i="4" s="1"/>
  <c r="G12" i="4" s="1"/>
  <c r="E11" i="2" a="1"/>
  <c r="E11" i="2" s="1"/>
  <c r="F22" i="2"/>
  <c r="F18" i="2"/>
  <c r="C11" i="2" a="1"/>
  <c r="C11" i="2" s="1"/>
  <c r="C8" i="2" a="1"/>
  <c r="C8" i="2" s="1"/>
  <c r="G11" i="2" s="1" a="1"/>
  <c r="G11" i="2" s="1"/>
  <c r="D18" i="2"/>
  <c r="D8" i="1" a="1"/>
  <c r="D8" i="1" s="1"/>
  <c r="F10" i="1" s="1" a="1"/>
  <c r="F10" i="1" s="1"/>
  <c r="D12" i="1" s="1"/>
  <c r="F19" i="1"/>
  <c r="F95" i="2"/>
  <c r="D95" i="2"/>
  <c r="F94" i="2"/>
  <c r="D94" i="2"/>
  <c r="F93" i="2"/>
  <c r="D93" i="2"/>
  <c r="F92" i="2"/>
  <c r="D92" i="2"/>
  <c r="F91" i="2"/>
  <c r="E91" i="2"/>
  <c r="D91" i="2"/>
  <c r="F90" i="2"/>
  <c r="E90" i="2"/>
  <c r="D90" i="2"/>
  <c r="F89" i="2"/>
  <c r="D89" i="2"/>
  <c r="F88" i="2"/>
  <c r="D88" i="2"/>
  <c r="F87" i="2"/>
  <c r="D87" i="2"/>
  <c r="F86" i="2"/>
  <c r="D86" i="2"/>
  <c r="F85" i="2"/>
  <c r="D85" i="2"/>
  <c r="F84" i="2"/>
  <c r="D84" i="2"/>
  <c r="F83" i="2"/>
  <c r="D83" i="2"/>
  <c r="F82" i="2"/>
  <c r="D82" i="2"/>
  <c r="F81" i="2"/>
  <c r="D81" i="2"/>
  <c r="F80" i="2"/>
  <c r="D80" i="2"/>
  <c r="F79" i="2"/>
  <c r="D79" i="2"/>
  <c r="F78" i="2"/>
  <c r="D78" i="2"/>
  <c r="F77" i="2"/>
  <c r="D77" i="2"/>
  <c r="F76" i="2"/>
  <c r="D76" i="2"/>
  <c r="F75" i="2"/>
  <c r="D75" i="2"/>
  <c r="F74" i="2"/>
  <c r="D74" i="2"/>
  <c r="F73" i="2"/>
  <c r="D73" i="2"/>
  <c r="F72" i="2"/>
  <c r="D72" i="2"/>
  <c r="F71" i="2"/>
  <c r="D71" i="2"/>
  <c r="F70" i="2"/>
  <c r="D70" i="2"/>
  <c r="F69" i="2"/>
  <c r="D69" i="2"/>
  <c r="F68" i="2"/>
  <c r="D68" i="2"/>
  <c r="F67" i="2"/>
  <c r="D67" i="2"/>
  <c r="F66" i="2"/>
  <c r="D66" i="2"/>
  <c r="F65" i="2"/>
  <c r="D65" i="2"/>
  <c r="F64" i="2"/>
  <c r="D64" i="2"/>
  <c r="F63" i="2"/>
  <c r="D63" i="2"/>
  <c r="F62" i="2"/>
  <c r="D62" i="2"/>
  <c r="F61" i="2"/>
  <c r="D61" i="2"/>
  <c r="F60" i="2"/>
  <c r="D60" i="2"/>
  <c r="F59" i="2"/>
  <c r="D59" i="2"/>
  <c r="F58" i="2"/>
  <c r="E58" i="2"/>
  <c r="D58" i="2"/>
  <c r="F57" i="2"/>
  <c r="D57" i="2"/>
  <c r="F56" i="2"/>
  <c r="E56" i="2"/>
  <c r="D56" i="2"/>
  <c r="F55" i="2"/>
  <c r="E55" i="2"/>
  <c r="D55" i="2"/>
  <c r="F54" i="2"/>
  <c r="E54" i="2"/>
  <c r="D54" i="2"/>
  <c r="F53" i="2"/>
  <c r="D53" i="2"/>
  <c r="F52" i="2"/>
  <c r="D52" i="2"/>
  <c r="F51" i="2"/>
  <c r="D51" i="2"/>
  <c r="F50" i="2"/>
  <c r="D50" i="2"/>
  <c r="F49" i="2"/>
  <c r="D49" i="2"/>
  <c r="F48" i="2"/>
  <c r="D48" i="2"/>
  <c r="F47" i="2"/>
  <c r="D47" i="2"/>
  <c r="F46" i="2"/>
  <c r="D46" i="2"/>
  <c r="F45" i="2"/>
  <c r="D45" i="2"/>
  <c r="F44" i="2"/>
  <c r="D44" i="2"/>
  <c r="F43" i="2"/>
  <c r="D43" i="2"/>
  <c r="F42" i="2"/>
  <c r="D42" i="2"/>
  <c r="F41" i="2"/>
  <c r="D41" i="2"/>
  <c r="F40" i="2"/>
  <c r="D40" i="2"/>
  <c r="F39" i="2"/>
  <c r="D39" i="2"/>
  <c r="F38" i="2"/>
  <c r="D38" i="2"/>
  <c r="F37" i="2"/>
  <c r="D37" i="2"/>
  <c r="T36" i="2"/>
  <c r="S36" i="2"/>
  <c r="R36" i="2"/>
  <c r="Q36" i="2"/>
  <c r="P36" i="2"/>
  <c r="O36" i="2"/>
  <c r="F36" i="2"/>
  <c r="D36" i="2"/>
  <c r="T35" i="2"/>
  <c r="S35" i="2"/>
  <c r="E95" i="2" s="1"/>
  <c r="R35" i="2"/>
  <c r="E94" i="2" s="1"/>
  <c r="Q35" i="2"/>
  <c r="P35" i="2"/>
  <c r="E93" i="2" s="1"/>
  <c r="O35" i="2"/>
  <c r="E92" i="2" s="1"/>
  <c r="F35" i="2"/>
  <c r="D35" i="2"/>
  <c r="T34" i="2"/>
  <c r="S34" i="2"/>
  <c r="E59" i="2" s="1"/>
  <c r="R34" i="2"/>
  <c r="Q34" i="2"/>
  <c r="P34" i="2"/>
  <c r="E57" i="2" s="1"/>
  <c r="O34" i="2"/>
  <c r="F34" i="2"/>
  <c r="D34" i="2"/>
  <c r="T33" i="2"/>
  <c r="S33" i="2"/>
  <c r="R33" i="2"/>
  <c r="Q33" i="2"/>
  <c r="P33" i="2"/>
  <c r="O33" i="2"/>
  <c r="F33" i="2"/>
  <c r="D33" i="2"/>
  <c r="T32" i="2"/>
  <c r="S32" i="2"/>
  <c r="R32" i="2"/>
  <c r="Q32" i="2"/>
  <c r="P32" i="2"/>
  <c r="O32" i="2"/>
  <c r="F32" i="2"/>
  <c r="D32" i="2"/>
  <c r="T31" i="2"/>
  <c r="S31" i="2"/>
  <c r="E23" i="2" s="1"/>
  <c r="R31" i="2"/>
  <c r="Q31" i="2"/>
  <c r="P31" i="2"/>
  <c r="E21" i="2" s="1"/>
  <c r="O31" i="2"/>
  <c r="E20" i="2" s="1"/>
  <c r="F31" i="2"/>
  <c r="E31" i="2"/>
  <c r="D31" i="2"/>
  <c r="T30" i="2"/>
  <c r="S30" i="2"/>
  <c r="E35" i="2" s="1"/>
  <c r="R30" i="2"/>
  <c r="E34" i="2" s="1"/>
  <c r="Q30" i="2"/>
  <c r="P30" i="2"/>
  <c r="E33" i="2" s="1"/>
  <c r="O30" i="2"/>
  <c r="E32" i="2" s="1"/>
  <c r="F30" i="2"/>
  <c r="E30" i="2"/>
  <c r="D30" i="2"/>
  <c r="T29" i="2"/>
  <c r="S29" i="2"/>
  <c r="R29" i="2"/>
  <c r="Q29" i="2"/>
  <c r="P29" i="2"/>
  <c r="O29" i="2"/>
  <c r="F29" i="2"/>
  <c r="D29" i="2"/>
  <c r="F28" i="2"/>
  <c r="D28" i="2"/>
  <c r="F27" i="2"/>
  <c r="D27" i="2"/>
  <c r="F26" i="2"/>
  <c r="D26" i="2"/>
  <c r="F25" i="2"/>
  <c r="D25" i="2"/>
  <c r="F24" i="2"/>
  <c r="D24" i="2"/>
  <c r="F23" i="2"/>
  <c r="D23" i="2"/>
  <c r="E22" i="2"/>
  <c r="D22" i="2"/>
  <c r="F21" i="2"/>
  <c r="D21" i="2"/>
  <c r="F20" i="2"/>
  <c r="D20" i="2"/>
  <c r="F19" i="2"/>
  <c r="E19" i="2"/>
  <c r="D19" i="2"/>
  <c r="E18" i="2"/>
  <c r="F74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F46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8" i="1"/>
  <c r="F17" i="1"/>
  <c r="H10" i="1" a="1"/>
  <c r="H11" i="1" s="1"/>
  <c r="D10" i="1" a="1"/>
  <c r="D10" i="1" s="1"/>
  <c r="D11" i="4" l="1"/>
  <c r="H10" i="4"/>
  <c r="D11" i="1"/>
  <c r="H10" i="1"/>
  <c r="C12" i="2" l="1"/>
  <c r="C13" i="2" l="1"/>
  <c r="C1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<sst xmlns="http://schemas.openxmlformats.org/spreadsheetml/2006/main" count="843" uniqueCount="157">
  <si>
    <t>TCI国际派驻方案的4个特殊点如下：</t>
  </si>
  <si>
    <t>一档：11级及以下人员、副组长和组长</t>
  </si>
  <si>
    <t>二档：副总监、总监及12、13、14级专家</t>
  </si>
  <si>
    <t>信息输入区</t>
  </si>
  <si>
    <t>出发地</t>
  </si>
  <si>
    <t>深圳</t>
  </si>
  <si>
    <t>目的地</t>
  </si>
  <si>
    <t>泰国曼谷</t>
  </si>
  <si>
    <t>派驻地</t>
  </si>
  <si>
    <t>中国香港</t>
  </si>
  <si>
    <t>②落地安置服务为optional，在租房难度高的地方按需协助提供</t>
  </si>
  <si>
    <t>三档：中干及15级及以上</t>
  </si>
  <si>
    <t>时长</t>
  </si>
  <si>
    <t>个月</t>
  </si>
  <si>
    <t>③目的国临时住宿Cap30天，尽可能帮助缩短实际天数</t>
  </si>
  <si>
    <t>*家属范围仅含员工配偶、子女</t>
  </si>
  <si>
    <t>出差</t>
  </si>
  <si>
    <t>天数</t>
  </si>
  <si>
    <t>携带家属人数</t>
  </si>
  <si>
    <t>仅本人</t>
  </si>
  <si>
    <t>人</t>
  </si>
  <si>
    <t>往返</t>
  </si>
  <si>
    <t>次</t>
  </si>
  <si>
    <t>员工职级</t>
  </si>
  <si>
    <t>级</t>
  </si>
  <si>
    <t>FYI - 住房津贴标准</t>
  </si>
  <si>
    <t>补贴档位</t>
  </si>
  <si>
    <t>一档</t>
  </si>
  <si>
    <t>档</t>
  </si>
  <si>
    <t>Country</t>
  </si>
  <si>
    <t>City</t>
  </si>
  <si>
    <t>1 Bedroom - 携带1名家属</t>
  </si>
  <si>
    <t>2 Bedroom - 携带2名及以上家属</t>
  </si>
  <si>
    <t>Currency</t>
  </si>
  <si>
    <t>人民币汇率</t>
  </si>
  <si>
    <t>住宿档位</t>
  </si>
  <si>
    <t>阿联酋</t>
  </si>
  <si>
    <t>迪拜</t>
  </si>
  <si>
    <t>AED</t>
  </si>
  <si>
    <t>巴西</t>
  </si>
  <si>
    <t>圣保罗</t>
  </si>
  <si>
    <t>BRL</t>
  </si>
  <si>
    <t>成本计算器</t>
  </si>
  <si>
    <t>经济舱机票单程</t>
  </si>
  <si>
    <t>酒店单晚</t>
  </si>
  <si>
    <t>差旅补贴</t>
  </si>
  <si>
    <t>生活津贴/月</t>
  </si>
  <si>
    <t>艰苦补贴/月</t>
  </si>
  <si>
    <t>德国</t>
  </si>
  <si>
    <t>法兰克福</t>
  </si>
  <si>
    <t>EUR</t>
  </si>
  <si>
    <t>补贴小计（税后）/年</t>
  </si>
  <si>
    <t>法国</t>
  </si>
  <si>
    <t>巴黎</t>
  </si>
  <si>
    <t>韩国</t>
  </si>
  <si>
    <t>首尔</t>
  </si>
  <si>
    <t>KRW</t>
  </si>
  <si>
    <t>加拿大</t>
  </si>
  <si>
    <t>多伦多/温哥华</t>
  </si>
  <si>
    <t>CAD</t>
  </si>
  <si>
    <t>美元人民币汇率</t>
  </si>
  <si>
    <t>马来西亚</t>
  </si>
  <si>
    <t>吉隆坡</t>
  </si>
  <si>
    <t>MYR</t>
  </si>
  <si>
    <t>差旅费用标准</t>
  </si>
  <si>
    <t>酒店标准(美元)</t>
  </si>
  <si>
    <t>派驻补贴标准</t>
  </si>
  <si>
    <t>税后，单位人民币</t>
  </si>
  <si>
    <t>美国</t>
  </si>
  <si>
    <t>纽约</t>
  </si>
  <si>
    <t>USD</t>
  </si>
  <si>
    <t>二档</t>
  </si>
  <si>
    <t>档位</t>
  </si>
  <si>
    <t>生活津贴</t>
  </si>
  <si>
    <t>艰苦补贴</t>
  </si>
  <si>
    <t>住房补贴</t>
  </si>
  <si>
    <t>Palo Alto/Los Angeles</t>
  </si>
  <si>
    <t>印尼雅加达</t>
  </si>
  <si>
    <t>墨西哥</t>
  </si>
  <si>
    <t>Mexico City</t>
  </si>
  <si>
    <t>MXN</t>
  </si>
  <si>
    <t>日本</t>
  </si>
  <si>
    <t>东京</t>
  </si>
  <si>
    <t>JPY</t>
  </si>
  <si>
    <t>英国伦敦</t>
  </si>
  <si>
    <t>本人+配偶</t>
  </si>
  <si>
    <t>泰国</t>
  </si>
  <si>
    <t>曼谷</t>
  </si>
  <si>
    <t>THB</t>
  </si>
  <si>
    <t>差旅补贴(美元)</t>
  </si>
  <si>
    <t>新加坡</t>
  </si>
  <si>
    <t>SGD</t>
  </si>
  <si>
    <t>本人+配偶+子女</t>
  </si>
  <si>
    <t>印尼</t>
  </si>
  <si>
    <t>雅加达</t>
  </si>
  <si>
    <t>英国</t>
  </si>
  <si>
    <t>伦敦</t>
  </si>
  <si>
    <t>GBP</t>
  </si>
  <si>
    <t>中国</t>
  </si>
  <si>
    <t>香港</t>
  </si>
  <si>
    <t>HKD</t>
  </si>
  <si>
    <t>艰苦补贴标准</t>
  </si>
  <si>
    <t>国家</t>
  </si>
  <si>
    <t>城市</t>
  </si>
  <si>
    <t>员工个人-CNY</t>
  </si>
  <si>
    <t>仅带员工配偶(30%) - CNY</t>
  </si>
  <si>
    <t>员工配偶和子女(40%)/仅带子女(40%) - CNY</t>
  </si>
  <si>
    <t>沙特利雅得</t>
  </si>
  <si>
    <t>三档</t>
  </si>
  <si>
    <t>土耳其</t>
  </si>
  <si>
    <t>伊斯坦布尔</t>
  </si>
  <si>
    <t>日本东京</t>
  </si>
  <si>
    <t>马来西亚吉隆坡</t>
  </si>
  <si>
    <t>美国洛杉矶</t>
  </si>
  <si>
    <t>Poland</t>
  </si>
  <si>
    <t>Warsaw</t>
  </si>
  <si>
    <t>美国旧金山</t>
  </si>
  <si>
    <t>韩国首尔</t>
  </si>
  <si>
    <t>生活津贴-半产半学场景（下调）</t>
  </si>
  <si>
    <t>生活津贴-每月税后-人民币</t>
  </si>
  <si>
    <t>法国巴黎</t>
  </si>
  <si>
    <t>员工个人</t>
  </si>
  <si>
    <t>员工配偶（30%）</t>
  </si>
  <si>
    <t>员工配偶和子女（共40%）/仅带子女（共40%）</t>
  </si>
  <si>
    <t>德国法兰克福</t>
  </si>
  <si>
    <t>阿联酋迪拜</t>
  </si>
  <si>
    <t>北京</t>
  </si>
  <si>
    <t>Palo Alto</t>
  </si>
  <si>
    <t>广州</t>
  </si>
  <si>
    <r>
      <rPr>
        <sz val="10"/>
        <color rgb="FF000000"/>
        <rFont val="PingFang SC"/>
        <family val="2"/>
        <charset val="134"/>
      </rPr>
      <t>①</t>
    </r>
    <r>
      <rPr>
        <b/>
        <u/>
        <sz val="10"/>
        <color rgb="FF000000"/>
        <rFont val="PingFang SC"/>
        <family val="2"/>
        <charset val="134"/>
      </rPr>
      <t>生活津贴</t>
    </r>
    <r>
      <rPr>
        <sz val="10"/>
        <color rgb="FF000000"/>
        <rFont val="PingFang SC"/>
        <family val="2"/>
        <charset val="134"/>
      </rPr>
      <t>较常规政策有下调，TCI标准请参照下图</t>
    </r>
  </si>
  <si>
    <r>
      <rPr>
        <sz val="10"/>
        <color rgb="FF000000"/>
        <rFont val="PingFang SC"/>
        <family val="2"/>
        <charset val="134"/>
      </rPr>
      <t>④</t>
    </r>
    <r>
      <rPr>
        <u/>
        <sz val="10"/>
        <color rgb="FF000000"/>
        <rFont val="PingFang SC"/>
        <family val="2"/>
        <charset val="134"/>
      </rPr>
      <t>上下任(双程)</t>
    </r>
    <r>
      <rPr>
        <sz val="10"/>
        <color rgb="FF000000"/>
        <rFont val="PingFang SC"/>
        <family val="2"/>
        <charset val="134"/>
      </rPr>
      <t>的行李托运费总计Cap 6,000美金</t>
    </r>
  </si>
  <si>
    <t>附相关指引：</t>
    <phoneticPr fontId="18" type="noConversion"/>
  </si>
  <si>
    <t>https://iwiki.woa.com/p/4015975441</t>
  </si>
  <si>
    <t>各国差旅指引Travel Guidelines</t>
    <phoneticPr fontId="18" type="noConversion"/>
  </si>
  <si>
    <t>海外差旅白名单</t>
    <phoneticPr fontId="18" type="noConversion"/>
  </si>
  <si>
    <t>https://iwiki.woa.com/p/4016284203</t>
  </si>
  <si>
    <t>国际差旅</t>
    <phoneticPr fontId="18" type="noConversion"/>
  </si>
  <si>
    <t>适用场景：短期海外差旅需要，需前往不同海外国家。</t>
    <phoneticPr fontId="18" type="noConversion"/>
  </si>
  <si>
    <t>管理级别</t>
    <phoneticPr fontId="18" type="noConversion"/>
  </si>
  <si>
    <t>L1-1</t>
    <phoneticPr fontId="18" type="noConversion"/>
  </si>
  <si>
    <t>L1-2</t>
    <phoneticPr fontId="18" type="noConversion"/>
  </si>
  <si>
    <t>L2-1</t>
    <phoneticPr fontId="18" type="noConversion"/>
  </si>
  <si>
    <t>L2-2</t>
    <phoneticPr fontId="18" type="noConversion"/>
  </si>
  <si>
    <t>住宿档位</t>
    <phoneticPr fontId="18" type="noConversion"/>
  </si>
  <si>
    <t>公司税负平衡政策：派驻期间全职于派驻国工作，根据公司税负平衡政策，确保员工的税负不因国际派驻有所增加或有所获益，仍由员工承担“派驻前缴税额度”，公司将负责实际产生的中国和派驻国额外税金。各国税负差异较大，按照过往各国参考，一般为员工总收入的12-18%。</t>
    <phoneticPr fontId="18" type="noConversion"/>
  </si>
  <si>
    <t>税负平衡成本/年
（用员工总收入的15%来估算）</t>
    <phoneticPr fontId="18" type="noConversion"/>
  </si>
  <si>
    <t>住房补贴/月</t>
    <phoneticPr fontId="18" type="noConversion"/>
  </si>
  <si>
    <t>个税申报费用</t>
    <phoneticPr fontId="18" type="noConversion"/>
  </si>
  <si>
    <t>元（单位：人民币）</t>
    <phoneticPr fontId="18" type="noConversion"/>
  </si>
  <si>
    <t>增加成本粗算</t>
    <phoneticPr fontId="18" type="noConversion"/>
  </si>
  <si>
    <t>员工税前年薪</t>
    <phoneticPr fontId="18" type="noConversion"/>
  </si>
  <si>
    <t>国际派驻</t>
    <phoneticPr fontId="18" type="noConversion"/>
  </si>
  <si>
    <t>适用场景：主要支持单一国家业务，且派驻时间至少6个月，最长为24个月，到期后最多可允许延期12个月。</t>
    <phoneticPr fontId="18" type="noConversion"/>
  </si>
  <si>
    <t>LTBS</t>
    <phoneticPr fontId="18" type="noConversion"/>
  </si>
  <si>
    <t>国际差旅成本粗算</t>
    <phoneticPr fontId="18" type="noConversion"/>
  </si>
  <si>
    <t>LTBS成本粗算</t>
    <phoneticPr fontId="18" type="noConversion"/>
  </si>
  <si>
    <r>
      <t>适用场景：Long-Term Business Star, 介于国际差旅和国际派驻之间的异动场景。以商务签优先支持员工短期内异动到海外国家，天数通常为30天-182天。目前可支持美国、英国、新加坡、荷兰、日本、阿联酋、中国大陆、波兰、德国、法国等国家地区。提供每月生活津贴（对齐公司标准版国际派驻“员工档”）、住房支持（短租公寓，成本低于差旅酒店）、往返机票，同时公司需承担个税额外成本。</t>
    </r>
    <r>
      <rPr>
        <b/>
        <sz val="10"/>
        <color theme="1"/>
        <rFont val="等线"/>
        <family val="4"/>
        <charset val="134"/>
        <scheme val="minor"/>
      </rPr>
      <t>总成本约为国际差旅的85%。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</si>
</sst>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2">
    <font>
      <sz val="10"/>
      <color theme="1"/>
      <name val="等线"/>
      <family val="2"/>
      <charset val="134"/>
      <scheme val="minor"/>
    </font>
    <font>
      <b/>
      <sz val="14"/>
      <name val="PingFang SC"/>
      <family val="2"/>
      <charset val="134"/>
    </font>
    <font>
      <sz val="10"/>
      <color rgb="FF2972F4"/>
      <name val="等线"/>
      <family val="4"/>
      <charset val="134"/>
    </font>
    <font>
      <b/>
      <sz val="10"/>
      <name val="等线"/>
      <family val="4"/>
      <charset val="134"/>
    </font>
    <font>
      <sz val="9"/>
      <name val="等线"/>
      <family val="4"/>
      <charset val="134"/>
    </font>
    <font>
      <i/>
      <sz val="10"/>
      <name val="等线"/>
      <family val="4"/>
      <charset val="134"/>
    </font>
    <font>
      <sz val="10"/>
      <color rgb="FFFF0000"/>
      <name val="等线"/>
      <family val="4"/>
      <charset val="134"/>
    </font>
    <font>
      <sz val="10"/>
      <name val="PingFang SC"/>
      <family val="2"/>
      <charset val="134"/>
    </font>
    <font>
      <sz val="10"/>
      <color rgb="FF000000"/>
      <name val="等线"/>
      <family val="4"/>
      <charset val="134"/>
    </font>
    <font>
      <b/>
      <sz val="11"/>
      <name val="Calibri"/>
      <family val="2"/>
    </font>
    <font>
      <b/>
      <sz val="10"/>
      <name val="Helvetica Neue"/>
      <family val="2"/>
    </font>
    <font>
      <sz val="11"/>
      <name val="Calibri"/>
      <family val="2"/>
    </font>
    <font>
      <sz val="11"/>
      <name val="等线"/>
      <family val="4"/>
      <charset val="134"/>
    </font>
    <font>
      <sz val="10"/>
      <color rgb="FFFFFFFF"/>
      <name val="等线"/>
      <family val="4"/>
      <charset val="134"/>
    </font>
    <font>
      <sz val="9"/>
      <color rgb="FF666666"/>
      <name val="Tahoma"/>
      <family val="2"/>
    </font>
    <font>
      <sz val="10"/>
      <color rgb="FF000000"/>
      <name val="PingFang SC"/>
      <family val="2"/>
      <charset val="134"/>
    </font>
    <font>
      <b/>
      <u/>
      <sz val="10"/>
      <color rgb="FF000000"/>
      <name val="PingFang SC"/>
      <family val="2"/>
      <charset val="134"/>
    </font>
    <font>
      <u/>
      <sz val="10"/>
      <color rgb="FF000000"/>
      <name val="PingFang SC"/>
      <family val="2"/>
      <charset val="134"/>
    </font>
    <font>
      <sz val="9"/>
      <name val="等线"/>
      <family val="2"/>
      <charset val="134"/>
      <scheme val="minor"/>
    </font>
    <font>
      <sz val="10"/>
      <color rgb="FF000000"/>
      <name val="等线"/>
      <family val="4"/>
      <charset val="134"/>
      <scheme val="minor"/>
    </font>
    <font>
      <b/>
      <sz val="10"/>
      <color theme="1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AFAF1"/>
        <bgColor auto="1"/>
      </patternFill>
    </fill>
    <fill>
      <patternFill patternType="solid">
        <fgColor rgb="FF99DDFF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FFF9E3"/>
        <bgColor auto="1"/>
      </patternFill>
    </fill>
    <fill>
      <patternFill patternType="solid">
        <fgColor rgb="FFF2C7FF"/>
      </patternFill>
    </fill>
    <fill>
      <patternFill patternType="solid">
        <fgColor rgb="FF8CDDFA"/>
        <bgColor auto="1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3" fontId="0" fillId="2" borderId="1" xfId="0" applyNumberFormat="1" applyFill="1" applyBorder="1" applyAlignment="1">
      <alignment horizontal="right" vertical="center"/>
    </xf>
    <xf numFmtId="3" fontId="0" fillId="2" borderId="2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3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3" fillId="0" borderId="4" xfId="0" applyFont="1" applyBorder="1" applyAlignment="1">
      <alignment horizontal="right" vertical="center"/>
    </xf>
    <xf numFmtId="0" fontId="0" fillId="0" borderId="5" xfId="0" applyBorder="1">
      <alignment vertical="center"/>
    </xf>
    <xf numFmtId="0" fontId="0" fillId="0" borderId="4" xfId="0" applyBorder="1" applyAlignment="1">
      <alignment horizontal="right" vertical="center"/>
    </xf>
    <xf numFmtId="0" fontId="3" fillId="0" borderId="0" xfId="0" applyFont="1">
      <alignment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5" borderId="7" xfId="0" applyFill="1" applyBorder="1" applyAlignment="1">
      <alignment horizontal="right" vertic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0" fillId="0" borderId="8" xfId="0" applyBorder="1">
      <alignment vertical="center"/>
    </xf>
    <xf numFmtId="0" fontId="11" fillId="0" borderId="9" xfId="0" applyFont="1" applyBorder="1" applyAlignment="1">
      <alignment horizontal="center" vertical="center"/>
    </xf>
    <xf numFmtId="38" fontId="0" fillId="0" borderId="11" xfId="0" applyNumberFormat="1" applyBorder="1" applyAlignment="1">
      <alignment horizontal="center" vertical="center"/>
    </xf>
    <xf numFmtId="38" fontId="0" fillId="0" borderId="12" xfId="0" applyNumberForma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38" fontId="0" fillId="0" borderId="13" xfId="0" applyNumberFormat="1" applyBorder="1" applyAlignment="1">
      <alignment horizontal="center" vertical="center"/>
    </xf>
    <xf numFmtId="38" fontId="0" fillId="0" borderId="9" xfId="0" applyNumberFormat="1" applyBorder="1" applyAlignment="1">
      <alignment horizontal="center" vertical="center"/>
    </xf>
    <xf numFmtId="3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5" xfId="0" applyFont="1" applyBorder="1">
      <alignment vertical="center"/>
    </xf>
    <xf numFmtId="3" fontId="0" fillId="0" borderId="0" xfId="0" applyNumberFormat="1" applyAlignment="1">
      <alignment horizontal="right" vertical="center"/>
    </xf>
    <xf numFmtId="0" fontId="3" fillId="6" borderId="7" xfId="0" applyFont="1" applyFill="1" applyBorder="1" applyAlignment="1">
      <alignment horizontal="right" vertical="center"/>
    </xf>
    <xf numFmtId="3" fontId="3" fillId="6" borderId="7" xfId="0" applyNumberFormat="1" applyFont="1" applyFill="1" applyBorder="1" applyAlignment="1">
      <alignment horizontal="right" vertical="center"/>
    </xf>
    <xf numFmtId="3" fontId="0" fillId="0" borderId="7" xfId="0" applyNumberFormat="1" applyBorder="1" applyAlignment="1">
      <alignment horizontal="right" vertical="center"/>
    </xf>
    <xf numFmtId="3" fontId="14" fillId="0" borderId="0" xfId="0" applyNumberFormat="1" applyFo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3" fillId="7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11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38" fontId="12" fillId="0" borderId="9" xfId="0" applyNumberFormat="1" applyFont="1" applyBorder="1" applyAlignment="1">
      <alignment horizontal="center"/>
    </xf>
    <xf numFmtId="38" fontId="12" fillId="0" borderId="13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9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0" borderId="0" xfId="0" applyFont="1" applyAlignment="1">
      <alignment vertical="top"/>
    </xf>
    <xf numFmtId="0" fontId="20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0" xfId="0" applyFont="1" applyAlignment="1">
      <alignment vertical="top"/>
    </xf>
    <xf numFmtId="0" fontId="0" fillId="5" borderId="0" xfId="0" applyFill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0" fillId="5" borderId="0" xfId="0" applyNumberFormat="1" applyFill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3" fontId="0" fillId="0" borderId="5" xfId="0" applyNumberFormat="1" applyFill="1" applyBorder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4" fillId="8" borderId="17" xfId="0" applyFont="1" applyFill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8" borderId="0" xfId="0" applyFill="1" applyBorder="1">
      <alignment vertical="center"/>
    </xf>
    <xf numFmtId="0" fontId="0" fillId="0" borderId="20" xfId="0" applyBorder="1">
      <alignment vertical="center"/>
    </xf>
    <xf numFmtId="0" fontId="4" fillId="8" borderId="0" xfId="0" applyFont="1" applyFill="1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8" borderId="0" xfId="0" applyNumberFormat="1" applyFill="1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0" fillId="8" borderId="22" xfId="0" applyFill="1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0" fillId="0" borderId="0" xfId="0" applyBorder="1" applyAlignment="1">
      <alignment horizontal="left" vertical="center" wrapText="1"/>
    </xf>
    <xf numFmtId="3" fontId="0" fillId="2" borderId="17" xfId="0" applyNumberFormat="1" applyFill="1" applyBorder="1" applyAlignment="1">
      <alignment horizontal="right" vertical="center"/>
    </xf>
    <xf numFmtId="3" fontId="0" fillId="2" borderId="18" xfId="0" applyNumberFormat="1" applyFill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" fontId="0" fillId="0" borderId="0" xfId="0" applyNumberFormat="1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0" fontId="0" fillId="0" borderId="0" xfId="0" applyBorder="1" applyAlignment="1">
      <alignment horizontal="right" vertical="center" wrapText="1"/>
    </xf>
    <xf numFmtId="3" fontId="0" fillId="2" borderId="20" xfId="0" applyNumberFormat="1" applyFill="1" applyBorder="1" applyAlignment="1">
      <alignment horizontal="right" vertical="center"/>
    </xf>
    <xf numFmtId="0" fontId="6" fillId="0" borderId="0" xfId="0" applyFont="1" applyBorder="1" applyAlignment="1">
      <alignment horizontal="right" vertical="center" wrapText="1"/>
    </xf>
    <xf numFmtId="0" fontId="0" fillId="0" borderId="20" xfId="0" applyBorder="1" applyAlignment="1">
      <alignment horizontal="right" vertical="center" wrapText="1"/>
    </xf>
    <xf numFmtId="0" fontId="3" fillId="6" borderId="22" xfId="0" applyFont="1" applyFill="1" applyBorder="1" applyAlignment="1">
      <alignment horizontal="right" vertical="center" wrapText="1"/>
    </xf>
    <xf numFmtId="1" fontId="3" fillId="6" borderId="22" xfId="0" applyNumberFormat="1" applyFont="1" applyFill="1" applyBorder="1" applyAlignment="1">
      <alignment horizontal="right" vertical="center"/>
    </xf>
    <xf numFmtId="3" fontId="0" fillId="0" borderId="23" xfId="0" applyNumberFormat="1" applyBorder="1" applyAlignment="1">
      <alignment horizontal="right" vertical="center"/>
    </xf>
    <xf numFmtId="3" fontId="0" fillId="8" borderId="0" xfId="0" applyNumberForma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9" fontId="0" fillId="0" borderId="8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28575</xdr:colOff>
      <xdr:row>54</xdr:row>
      <xdr:rowOff>142875</xdr:rowOff>
    </xdr:from>
    <xdr:ext cx="8172450" cy="4695825"/>
    <xdr:pic>
      <xdr:nvPicPr>
        <xdr:cNvPr id="2" name="图片 1">
          <a:extLst>
            <a:ext uri="{FF2B5EF4-FFF2-40B4-BE49-F238E27FC236}">
              <a16:creationId xmlns:a16="http://schemas.microsoft.com/office/drawing/2014/main" id="{61AA4BC5-D2A7-204F-B060-56987886D21C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xfrm>
          <a:off x="17021175" y="10506075"/>
          <a:ext cx="8172450" cy="4695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08"/>
  <sheetViews>
    <sheetView tabSelected="1" workbookViewId="0">
      <selection activeCell="D33" sqref="D33"/>
    </sheetView>
  </sheetViews>
  <sheetFormatPr baseColWidth="10" defaultRowHeight="13"/>
  <cols>
    <col min="1" max="1" width="4.796875" customWidth="1"/>
    <col min="2" max="8" width="13.796875" customWidth="1"/>
    <col min="9" max="9" width="7.796875" customWidth="1"/>
    <col min="10" max="10" width="8.796875" customWidth="1"/>
    <col min="11" max="11" width="7.796875" customWidth="1"/>
    <col min="12" max="12" width="12.796875" customWidth="1"/>
    <col min="13" max="13" width="13.796875" customWidth="1"/>
    <col min="14" max="14" width="6.796875" customWidth="1"/>
    <col min="15" max="15" width="3.796875" customWidth="1"/>
  </cols>
  <sheetData>
    <row r="1" spans="2:13">
      <c r="B1" s="3"/>
      <c r="C1" s="3"/>
      <c r="D1" s="3"/>
      <c r="E1" s="3"/>
      <c r="F1" s="3"/>
      <c r="G1" s="3"/>
      <c r="M1" s="3"/>
    </row>
    <row r="2" spans="2:13" ht="39.75" customHeight="1" thickBot="1">
      <c r="B2" s="6" t="s">
        <v>136</v>
      </c>
      <c r="C2" s="75" t="s">
        <v>137</v>
      </c>
      <c r="D2" s="75"/>
      <c r="E2" s="75"/>
      <c r="F2" s="75"/>
      <c r="G2" s="75"/>
      <c r="H2" s="75"/>
      <c r="M2" s="7"/>
    </row>
    <row r="3" spans="2:13">
      <c r="B3" s="9" t="s">
        <v>3</v>
      </c>
      <c r="C3" s="10" t="s">
        <v>4</v>
      </c>
      <c r="D3" s="11" t="s">
        <v>5</v>
      </c>
      <c r="E3" s="10" t="s">
        <v>6</v>
      </c>
      <c r="F3" s="11" t="s">
        <v>7</v>
      </c>
      <c r="G3" s="10"/>
      <c r="H3" s="12"/>
      <c r="I3" s="13"/>
      <c r="J3" t="s">
        <v>138</v>
      </c>
      <c r="M3" s="7"/>
    </row>
    <row r="4" spans="2:13">
      <c r="B4" s="15"/>
      <c r="C4" s="3" t="s">
        <v>12</v>
      </c>
      <c r="D4" s="72">
        <v>6</v>
      </c>
      <c r="E4" s="3" t="s">
        <v>13</v>
      </c>
      <c r="F4" s="3"/>
      <c r="G4" s="3"/>
      <c r="H4" s="16"/>
      <c r="I4" s="13"/>
      <c r="J4" t="s">
        <v>139</v>
      </c>
      <c r="M4" s="3"/>
    </row>
    <row r="5" spans="2:13">
      <c r="B5" s="15"/>
      <c r="C5" s="3" t="s">
        <v>16</v>
      </c>
      <c r="D5" s="73">
        <v>60</v>
      </c>
      <c r="E5" s="3" t="s">
        <v>17</v>
      </c>
      <c r="F5" s="3"/>
      <c r="G5" s="3"/>
      <c r="H5" s="16"/>
      <c r="I5" s="13"/>
      <c r="J5" t="s">
        <v>140</v>
      </c>
      <c r="M5" s="3"/>
    </row>
    <row r="6" spans="2:13">
      <c r="B6" s="15"/>
      <c r="C6" s="3" t="s">
        <v>21</v>
      </c>
      <c r="D6" s="73">
        <v>10</v>
      </c>
      <c r="E6" s="3" t="s">
        <v>22</v>
      </c>
      <c r="F6" s="3"/>
      <c r="G6" s="3"/>
      <c r="H6" s="16"/>
      <c r="I6" s="13"/>
      <c r="J6" t="s">
        <v>141</v>
      </c>
      <c r="M6" s="3"/>
    </row>
    <row r="7" spans="2:13">
      <c r="B7" s="15"/>
      <c r="C7" s="3" t="s">
        <v>23</v>
      </c>
      <c r="D7" s="74">
        <v>11</v>
      </c>
      <c r="E7" s="3" t="s">
        <v>24</v>
      </c>
      <c r="F7" s="3"/>
      <c r="G7" s="3"/>
      <c r="H7" s="16"/>
      <c r="I7" s="13"/>
      <c r="J7" t="s">
        <v>142</v>
      </c>
      <c r="M7" s="3"/>
    </row>
    <row r="8" spans="2:13" ht="14" thickBot="1">
      <c r="B8" s="25"/>
      <c r="C8" s="20" t="s">
        <v>143</v>
      </c>
      <c r="D8" s="21" t="str" cm="1">
        <f t="array" ref="D8">_xlfn.IFS(D7&lt;12,"一档",D7=J4,"一档",D7=J5,"一档",D7=J6,"二档",D7=J7,"二档")</f>
        <v>一档</v>
      </c>
      <c r="E8" s="20" t="s">
        <v>28</v>
      </c>
      <c r="F8" s="20"/>
      <c r="G8" s="20"/>
      <c r="H8" s="26"/>
      <c r="I8" s="13"/>
      <c r="M8" s="3"/>
    </row>
    <row r="9" spans="2:13" ht="14" thickBot="1">
      <c r="B9" s="7"/>
      <c r="C9" s="3"/>
      <c r="D9" s="3"/>
      <c r="E9" s="3"/>
      <c r="F9" s="3"/>
      <c r="G9" s="3"/>
      <c r="M9" s="3"/>
    </row>
    <row r="10" spans="2:13">
      <c r="B10" s="9" t="s">
        <v>42</v>
      </c>
      <c r="C10" s="10" t="s">
        <v>43</v>
      </c>
      <c r="D10" s="2">
        <f t="array" ref="D10:D11">_xlfn._xlws.FILTER($D$16:$D$74,($B$16:$B$74=$D$3)*($C$16:$C$74=$F$3))</f>
        <v>1401</v>
      </c>
      <c r="E10" s="10" t="s">
        <v>44</v>
      </c>
      <c r="F10" s="2" cm="1">
        <f t="array" ref="F10">_xlfn.SINGLE(_xlfn._xlws.FILTER($F$16:$F$74,($B$16:$B$74=$D$3)*($C$16:$C$74=$F$3)*($E$16:$E$74=$D$8)))</f>
        <v>1375.3910000000001</v>
      </c>
      <c r="G10" s="10" t="s">
        <v>45</v>
      </c>
      <c r="H10" s="1">
        <f t="array" ref="H10:H11">_xlfn._xlws.FILTER($G$16:$G$74,($B$16:$B$74=$D$3)*($C$16:$C$74=$F$3))</f>
        <v>434.334</v>
      </c>
      <c r="M10" s="7"/>
    </row>
    <row r="11" spans="2:13">
      <c r="B11" s="17"/>
      <c r="C11" s="3"/>
      <c r="D11" s="34">
        <v>1401</v>
      </c>
      <c r="E11" s="35"/>
      <c r="F11" s="3"/>
      <c r="G11" s="35"/>
      <c r="H11" s="36">
        <v>434.334</v>
      </c>
      <c r="M11" s="3"/>
    </row>
    <row r="12" spans="2:13">
      <c r="B12" s="19"/>
      <c r="C12" s="38" t="s">
        <v>149</v>
      </c>
      <c r="D12" s="39">
        <f>D10*2*D6+F10*(D5-D6)+H10*D5</f>
        <v>122849.59</v>
      </c>
      <c r="E12" s="40"/>
      <c r="F12" s="40"/>
      <c r="G12" s="40"/>
      <c r="H12" s="26"/>
      <c r="M12" s="3"/>
    </row>
    <row r="13" spans="2:13">
      <c r="B13" s="3"/>
      <c r="C13" s="3"/>
      <c r="D13" s="3"/>
      <c r="E13" s="3"/>
      <c r="F13" s="3"/>
      <c r="G13" s="3"/>
      <c r="M13" s="3"/>
    </row>
    <row r="14" spans="2:13">
      <c r="B14" s="3"/>
      <c r="C14" s="3"/>
      <c r="D14" s="3"/>
      <c r="E14" s="3"/>
      <c r="F14" s="3" t="s">
        <v>60</v>
      </c>
      <c r="G14">
        <v>7.2389000000000001</v>
      </c>
      <c r="M14" s="3"/>
    </row>
    <row r="15" spans="2:13">
      <c r="B15" s="43" t="s">
        <v>64</v>
      </c>
      <c r="C15" s="3"/>
      <c r="D15" s="3"/>
      <c r="E15" s="3"/>
      <c r="F15" s="3"/>
      <c r="G15" s="3"/>
      <c r="H15" s="44"/>
      <c r="I15" s="61" t="s">
        <v>65</v>
      </c>
      <c r="J15" s="60"/>
      <c r="M15" s="7"/>
    </row>
    <row r="16" spans="2:13">
      <c r="B16" s="7" t="s">
        <v>4</v>
      </c>
      <c r="C16" s="7" t="s">
        <v>6</v>
      </c>
      <c r="D16" s="7" t="s">
        <v>43</v>
      </c>
      <c r="E16" s="7" t="s">
        <v>35</v>
      </c>
      <c r="F16" s="7" t="s">
        <v>44</v>
      </c>
      <c r="G16" s="7" t="s">
        <v>45</v>
      </c>
      <c r="I16" s="45" t="s">
        <v>27</v>
      </c>
      <c r="J16" s="45" t="s">
        <v>71</v>
      </c>
      <c r="M16" s="7"/>
    </row>
    <row r="17" spans="2:13">
      <c r="B17" s="3" t="s">
        <v>5</v>
      </c>
      <c r="C17" s="3" t="s">
        <v>9</v>
      </c>
      <c r="D17" s="37">
        <v>75</v>
      </c>
      <c r="E17" s="3" t="s">
        <v>27</v>
      </c>
      <c r="F17" s="37">
        <f>$G$14*$I$19</f>
        <v>1375.3910000000001</v>
      </c>
      <c r="G17" s="37">
        <v>300</v>
      </c>
      <c r="I17" s="13">
        <v>330</v>
      </c>
      <c r="J17" s="13">
        <v>500</v>
      </c>
      <c r="M17" s="3"/>
    </row>
    <row r="18" spans="2:13">
      <c r="B18" s="3" t="s">
        <v>5</v>
      </c>
      <c r="C18" s="3" t="s">
        <v>9</v>
      </c>
      <c r="D18" s="37">
        <v>75</v>
      </c>
      <c r="E18" s="3" t="s">
        <v>71</v>
      </c>
      <c r="F18" s="37">
        <f>$G$14*$J$19</f>
        <v>2026.8920000000001</v>
      </c>
      <c r="G18" s="37">
        <v>300</v>
      </c>
      <c r="I18" s="13">
        <v>250</v>
      </c>
      <c r="J18" s="13">
        <v>370</v>
      </c>
      <c r="M18" s="3"/>
    </row>
    <row r="19" spans="2:13">
      <c r="B19" s="3" t="s">
        <v>5</v>
      </c>
      <c r="C19" s="3" t="s">
        <v>84</v>
      </c>
      <c r="D19" s="37">
        <v>11400</v>
      </c>
      <c r="E19" s="3" t="s">
        <v>27</v>
      </c>
      <c r="F19" s="37">
        <f>$G$14*$I$17</f>
        <v>2388.837</v>
      </c>
      <c r="G19" s="37">
        <f>$G$14*$J$21</f>
        <v>542.91750000000002</v>
      </c>
      <c r="I19" s="13">
        <v>190</v>
      </c>
      <c r="J19" s="13">
        <v>280</v>
      </c>
      <c r="M19" s="3"/>
    </row>
    <row r="20" spans="2:13">
      <c r="B20" s="3" t="s">
        <v>5</v>
      </c>
      <c r="C20" s="3" t="s">
        <v>84</v>
      </c>
      <c r="D20" s="37">
        <v>11400</v>
      </c>
      <c r="E20" s="3" t="s">
        <v>71</v>
      </c>
      <c r="F20" s="37">
        <f>$G$14*$J$17</f>
        <v>3619.4500000000003</v>
      </c>
      <c r="G20" s="37">
        <f>$G$14*$J$21</f>
        <v>542.91750000000002</v>
      </c>
      <c r="I20" s="61" t="s">
        <v>89</v>
      </c>
      <c r="J20" s="60"/>
      <c r="M20" s="3"/>
    </row>
    <row r="21" spans="2:13">
      <c r="B21" s="3" t="s">
        <v>5</v>
      </c>
      <c r="C21" s="3" t="s">
        <v>77</v>
      </c>
      <c r="D21" s="37">
        <v>2049</v>
      </c>
      <c r="E21" s="3" t="s">
        <v>27</v>
      </c>
      <c r="F21" s="37">
        <f>$G$14*$I$19</f>
        <v>1375.3910000000001</v>
      </c>
      <c r="G21" s="37">
        <f t="shared" ref="G21:G30" si="0">$G$14*$J$22</f>
        <v>434.334</v>
      </c>
      <c r="I21" s="45"/>
      <c r="J21" s="13">
        <v>75</v>
      </c>
      <c r="M21" s="3"/>
    </row>
    <row r="22" spans="2:13">
      <c r="B22" s="3" t="s">
        <v>5</v>
      </c>
      <c r="C22" s="3" t="s">
        <v>77</v>
      </c>
      <c r="D22" s="37">
        <v>2049</v>
      </c>
      <c r="E22" s="3" t="s">
        <v>71</v>
      </c>
      <c r="F22" s="37">
        <f>$G$14*$J$19</f>
        <v>2026.8920000000001</v>
      </c>
      <c r="G22" s="37">
        <f t="shared" si="0"/>
        <v>434.334</v>
      </c>
      <c r="I22" s="45"/>
      <c r="J22" s="13">
        <v>60</v>
      </c>
      <c r="M22" s="3"/>
    </row>
    <row r="23" spans="2:13">
      <c r="B23" s="3" t="s">
        <v>5</v>
      </c>
      <c r="C23" s="3" t="s">
        <v>90</v>
      </c>
      <c r="D23" s="37">
        <v>2709</v>
      </c>
      <c r="E23" s="3" t="s">
        <v>27</v>
      </c>
      <c r="F23" s="37">
        <f>$G$14*$I$18</f>
        <v>1809.7250000000001</v>
      </c>
      <c r="G23" s="37">
        <f t="shared" si="0"/>
        <v>434.334</v>
      </c>
      <c r="M23" s="3"/>
    </row>
    <row r="24" spans="2:13">
      <c r="B24" s="3" t="s">
        <v>5</v>
      </c>
      <c r="C24" s="3" t="s">
        <v>90</v>
      </c>
      <c r="D24" s="37">
        <v>2709</v>
      </c>
      <c r="E24" s="3" t="s">
        <v>71</v>
      </c>
      <c r="F24" s="37">
        <f>$G$14*$J$18</f>
        <v>2678.393</v>
      </c>
      <c r="G24" s="37">
        <f t="shared" si="0"/>
        <v>434.334</v>
      </c>
      <c r="M24" s="3"/>
    </row>
    <row r="25" spans="2:13">
      <c r="B25" s="3" t="s">
        <v>5</v>
      </c>
      <c r="C25" s="3" t="s">
        <v>7</v>
      </c>
      <c r="D25" s="37">
        <v>1401</v>
      </c>
      <c r="E25" s="3" t="s">
        <v>27</v>
      </c>
      <c r="F25" s="37">
        <f>$G$14*$I$19</f>
        <v>1375.3910000000001</v>
      </c>
      <c r="G25" s="37">
        <f t="shared" si="0"/>
        <v>434.334</v>
      </c>
      <c r="M25" s="3"/>
    </row>
    <row r="26" spans="2:13">
      <c r="B26" s="3" t="s">
        <v>5</v>
      </c>
      <c r="C26" s="3" t="s">
        <v>7</v>
      </c>
      <c r="D26" s="37">
        <v>1401</v>
      </c>
      <c r="E26" s="3" t="s">
        <v>71</v>
      </c>
      <c r="F26" s="37">
        <f>$G$14*$J$19</f>
        <v>2026.8920000000001</v>
      </c>
      <c r="G26" s="37">
        <f t="shared" si="0"/>
        <v>434.334</v>
      </c>
      <c r="M26" s="3"/>
    </row>
    <row r="27" spans="2:13">
      <c r="B27" s="3" t="s">
        <v>5</v>
      </c>
      <c r="C27" s="3" t="s">
        <v>107</v>
      </c>
      <c r="D27" s="37">
        <v>2215</v>
      </c>
      <c r="E27" s="3" t="s">
        <v>27</v>
      </c>
      <c r="F27" s="37">
        <f>$G$14*$I$18</f>
        <v>1809.7250000000001</v>
      </c>
      <c r="G27" s="37">
        <f t="shared" si="0"/>
        <v>434.334</v>
      </c>
      <c r="M27" s="3"/>
    </row>
    <row r="28" spans="2:13">
      <c r="B28" s="3" t="s">
        <v>5</v>
      </c>
      <c r="C28" s="3" t="s">
        <v>107</v>
      </c>
      <c r="D28" s="37">
        <v>2215</v>
      </c>
      <c r="E28" s="3" t="s">
        <v>71</v>
      </c>
      <c r="F28" s="37">
        <f>$G$14*$J$18</f>
        <v>2678.393</v>
      </c>
      <c r="G28" s="37">
        <f t="shared" si="0"/>
        <v>434.334</v>
      </c>
      <c r="M28" s="3"/>
    </row>
    <row r="29" spans="2:13">
      <c r="B29" s="3" t="s">
        <v>5</v>
      </c>
      <c r="C29" s="3" t="s">
        <v>111</v>
      </c>
      <c r="D29" s="37">
        <v>3179</v>
      </c>
      <c r="E29" s="3" t="s">
        <v>27</v>
      </c>
      <c r="F29" s="37">
        <f>$G$14*$I$18</f>
        <v>1809.7250000000001</v>
      </c>
      <c r="G29" s="37">
        <f t="shared" si="0"/>
        <v>434.334</v>
      </c>
      <c r="M29" s="3"/>
    </row>
    <row r="30" spans="2:13">
      <c r="B30" s="3" t="s">
        <v>5</v>
      </c>
      <c r="C30" s="3" t="s">
        <v>111</v>
      </c>
      <c r="D30" s="37">
        <v>3179</v>
      </c>
      <c r="E30" s="3" t="s">
        <v>71</v>
      </c>
      <c r="F30" s="37">
        <f>$G$14*$J$18</f>
        <v>2678.393</v>
      </c>
      <c r="G30" s="37">
        <f t="shared" si="0"/>
        <v>434.334</v>
      </c>
      <c r="M30" s="3"/>
    </row>
    <row r="31" spans="2:13">
      <c r="B31" s="3" t="s">
        <v>5</v>
      </c>
      <c r="C31" s="3" t="s">
        <v>113</v>
      </c>
      <c r="D31" s="37">
        <v>4686</v>
      </c>
      <c r="E31" s="3" t="s">
        <v>27</v>
      </c>
      <c r="F31" s="37">
        <f>$G$14*$I$17</f>
        <v>2388.837</v>
      </c>
      <c r="G31" s="37">
        <f>$G$14*$J$21</f>
        <v>542.91750000000002</v>
      </c>
      <c r="M31" s="3"/>
    </row>
    <row r="32" spans="2:13">
      <c r="B32" s="3" t="s">
        <v>5</v>
      </c>
      <c r="C32" s="3" t="s">
        <v>113</v>
      </c>
      <c r="D32" s="37">
        <v>4686</v>
      </c>
      <c r="E32" s="3" t="s">
        <v>71</v>
      </c>
      <c r="F32" s="37">
        <f>$G$14*$J$17</f>
        <v>3619.4500000000003</v>
      </c>
      <c r="G32" s="37">
        <f>$G$14*$J$21</f>
        <v>542.91750000000002</v>
      </c>
      <c r="M32" s="3"/>
    </row>
    <row r="33" spans="2:13">
      <c r="B33" s="3" t="s">
        <v>5</v>
      </c>
      <c r="C33" s="3" t="s">
        <v>116</v>
      </c>
      <c r="D33" s="37">
        <v>5287</v>
      </c>
      <c r="E33" s="3" t="s">
        <v>27</v>
      </c>
      <c r="F33" s="37">
        <f>$G$14*$I$17</f>
        <v>2388.837</v>
      </c>
      <c r="G33" s="37">
        <f>$G$14*$J$21</f>
        <v>542.91750000000002</v>
      </c>
      <c r="M33" s="3"/>
    </row>
    <row r="34" spans="2:13">
      <c r="B34" s="3" t="s">
        <v>5</v>
      </c>
      <c r="C34" s="3" t="s">
        <v>116</v>
      </c>
      <c r="D34" s="37">
        <v>5287</v>
      </c>
      <c r="E34" s="3" t="s">
        <v>71</v>
      </c>
      <c r="F34" s="37">
        <f>$G$14*$J$17</f>
        <v>3619.4500000000003</v>
      </c>
      <c r="G34" s="37">
        <f>$G$14*$J$21</f>
        <v>542.91750000000002</v>
      </c>
      <c r="M34" s="3"/>
    </row>
    <row r="35" spans="2:13">
      <c r="B35" s="3" t="s">
        <v>5</v>
      </c>
      <c r="C35" s="3" t="s">
        <v>112</v>
      </c>
      <c r="D35" s="37">
        <v>2139</v>
      </c>
      <c r="E35" s="3" t="s">
        <v>27</v>
      </c>
      <c r="F35" s="37">
        <f>$G$14*$I$19</f>
        <v>1375.3910000000001</v>
      </c>
      <c r="G35" s="37">
        <f>$G$14*$J$22</f>
        <v>434.334</v>
      </c>
      <c r="M35" s="3"/>
    </row>
    <row r="36" spans="2:13">
      <c r="B36" s="3" t="s">
        <v>5</v>
      </c>
      <c r="C36" s="3" t="s">
        <v>112</v>
      </c>
      <c r="D36" s="37">
        <v>2139</v>
      </c>
      <c r="E36" s="3" t="s">
        <v>71</v>
      </c>
      <c r="F36" s="37">
        <f>$G$14*$J$19</f>
        <v>2026.8920000000001</v>
      </c>
      <c r="G36" s="37">
        <f>$G$14*$J$22</f>
        <v>434.334</v>
      </c>
      <c r="M36" s="3"/>
    </row>
    <row r="37" spans="2:13">
      <c r="B37" s="3" t="s">
        <v>5</v>
      </c>
      <c r="C37" s="3" t="s">
        <v>117</v>
      </c>
      <c r="D37" s="37">
        <v>1659</v>
      </c>
      <c r="E37" s="3" t="s">
        <v>27</v>
      </c>
      <c r="F37" s="37">
        <f>$G$14*$I$19</f>
        <v>1375.3910000000001</v>
      </c>
      <c r="G37" s="37">
        <f>$G$14*$J$22</f>
        <v>434.334</v>
      </c>
      <c r="M37" s="3"/>
    </row>
    <row r="38" spans="2:13">
      <c r="B38" s="3" t="s">
        <v>5</v>
      </c>
      <c r="C38" s="3" t="s">
        <v>117</v>
      </c>
      <c r="D38" s="37">
        <v>1659</v>
      </c>
      <c r="E38" s="3" t="s">
        <v>71</v>
      </c>
      <c r="F38" s="37">
        <f>$G$14*$J$19</f>
        <v>2026.8920000000001</v>
      </c>
      <c r="G38" s="37">
        <f>$G$14*$J$22</f>
        <v>434.334</v>
      </c>
      <c r="M38" s="3"/>
    </row>
    <row r="39" spans="2:13">
      <c r="B39" s="3" t="s">
        <v>5</v>
      </c>
      <c r="C39" s="3" t="s">
        <v>120</v>
      </c>
      <c r="D39" s="37">
        <v>10719</v>
      </c>
      <c r="E39" s="3" t="s">
        <v>27</v>
      </c>
      <c r="F39" s="37">
        <f>$G$14*$I$17</f>
        <v>2388.837</v>
      </c>
      <c r="G39" s="37">
        <f>$G$14*$J$21</f>
        <v>542.91750000000002</v>
      </c>
      <c r="M39" s="3"/>
    </row>
    <row r="40" spans="2:13">
      <c r="B40" s="3" t="s">
        <v>5</v>
      </c>
      <c r="C40" s="3" t="s">
        <v>120</v>
      </c>
      <c r="D40" s="37">
        <v>10719</v>
      </c>
      <c r="E40" s="3" t="s">
        <v>71</v>
      </c>
      <c r="F40" s="37">
        <f>$G$14*$J$17</f>
        <v>3619.4500000000003</v>
      </c>
      <c r="G40" s="37">
        <f>$G$14*$J$21</f>
        <v>542.91750000000002</v>
      </c>
      <c r="M40" s="3"/>
    </row>
    <row r="41" spans="2:13">
      <c r="B41" s="3" t="s">
        <v>5</v>
      </c>
      <c r="C41" s="3" t="s">
        <v>124</v>
      </c>
      <c r="D41" s="37">
        <v>6890</v>
      </c>
      <c r="E41" s="3" t="s">
        <v>27</v>
      </c>
      <c r="F41" s="37">
        <f>$G$14*$I$18</f>
        <v>1809.7250000000001</v>
      </c>
      <c r="G41" s="37">
        <f>$G$14*$J$22</f>
        <v>434.334</v>
      </c>
      <c r="M41" s="3"/>
    </row>
    <row r="42" spans="2:13">
      <c r="B42" s="3" t="s">
        <v>5</v>
      </c>
      <c r="C42" s="3" t="s">
        <v>124</v>
      </c>
      <c r="D42" s="37">
        <v>6890</v>
      </c>
      <c r="E42" s="3" t="s">
        <v>71</v>
      </c>
      <c r="F42" s="37">
        <f>$G$14*$J$18</f>
        <v>2678.393</v>
      </c>
      <c r="G42" s="37">
        <f>$G$14*$J$22</f>
        <v>434.334</v>
      </c>
      <c r="M42" s="3"/>
    </row>
    <row r="43" spans="2:13">
      <c r="B43" s="3" t="s">
        <v>5</v>
      </c>
      <c r="C43" s="3" t="s">
        <v>125</v>
      </c>
      <c r="D43" s="37">
        <v>2219</v>
      </c>
      <c r="E43" s="3" t="s">
        <v>27</v>
      </c>
      <c r="F43" s="37">
        <f>$G$14*$I$18</f>
        <v>1809.7250000000001</v>
      </c>
      <c r="G43" s="37">
        <f>$G$14*$J$22</f>
        <v>434.334</v>
      </c>
      <c r="M43" s="3"/>
    </row>
    <row r="44" spans="2:13">
      <c r="B44" s="3" t="s">
        <v>5</v>
      </c>
      <c r="C44" s="3" t="s">
        <v>125</v>
      </c>
      <c r="D44" s="37">
        <v>2219</v>
      </c>
      <c r="E44" s="3" t="s">
        <v>71</v>
      </c>
      <c r="F44" s="37">
        <f>$G$14*$J$18</f>
        <v>2678.393</v>
      </c>
      <c r="G44" s="37">
        <f>$G$14*$J$22</f>
        <v>434.334</v>
      </c>
      <c r="M44" s="3"/>
    </row>
    <row r="45" spans="2:13">
      <c r="B45" s="3" t="s">
        <v>126</v>
      </c>
      <c r="C45" s="3" t="s">
        <v>9</v>
      </c>
      <c r="D45" s="37">
        <v>1255</v>
      </c>
      <c r="E45" s="3" t="s">
        <v>27</v>
      </c>
      <c r="F45" s="37">
        <f>$G$14*$I$19</f>
        <v>1375.3910000000001</v>
      </c>
      <c r="G45" s="37">
        <v>300</v>
      </c>
      <c r="M45" s="3"/>
    </row>
    <row r="46" spans="2:13">
      <c r="B46" s="3" t="s">
        <v>126</v>
      </c>
      <c r="C46" s="3" t="s">
        <v>9</v>
      </c>
      <c r="D46" s="37">
        <v>1255</v>
      </c>
      <c r="E46" s="3" t="s">
        <v>71</v>
      </c>
      <c r="F46" s="37">
        <f>$G$14*$J$19</f>
        <v>2026.8920000000001</v>
      </c>
      <c r="G46" s="37">
        <v>300</v>
      </c>
      <c r="M46" s="3"/>
    </row>
    <row r="47" spans="2:13">
      <c r="B47" s="3" t="s">
        <v>126</v>
      </c>
      <c r="C47" s="3" t="s">
        <v>84</v>
      </c>
      <c r="D47" s="37">
        <v>13819</v>
      </c>
      <c r="E47" s="3" t="s">
        <v>27</v>
      </c>
      <c r="F47" s="37">
        <f>$G$14*$I$17</f>
        <v>2388.837</v>
      </c>
      <c r="G47" s="37">
        <f>$G$14*$J$21</f>
        <v>542.91750000000002</v>
      </c>
      <c r="M47" s="3"/>
    </row>
    <row r="48" spans="2:13">
      <c r="B48" s="3" t="s">
        <v>126</v>
      </c>
      <c r="C48" s="3" t="s">
        <v>84</v>
      </c>
      <c r="D48" s="37">
        <v>13819</v>
      </c>
      <c r="E48" s="3" t="s">
        <v>71</v>
      </c>
      <c r="F48" s="37">
        <f>$G$14*$J$17</f>
        <v>3619.4500000000003</v>
      </c>
      <c r="G48" s="37">
        <f>$G$14*$J$21</f>
        <v>542.91750000000002</v>
      </c>
      <c r="M48" s="3"/>
    </row>
    <row r="49" spans="2:13">
      <c r="B49" s="3" t="s">
        <v>126</v>
      </c>
      <c r="C49" s="3" t="s">
        <v>77</v>
      </c>
      <c r="D49" s="37">
        <v>2547</v>
      </c>
      <c r="E49" s="3" t="s">
        <v>27</v>
      </c>
      <c r="F49" s="37">
        <f>$G$14*$I$19</f>
        <v>1375.3910000000001</v>
      </c>
      <c r="G49" s="37">
        <f t="shared" ref="G49:G58" si="1">$G$14*$J$22</f>
        <v>434.334</v>
      </c>
      <c r="M49" s="3"/>
    </row>
    <row r="50" spans="2:13">
      <c r="B50" s="3" t="s">
        <v>126</v>
      </c>
      <c r="C50" s="3" t="s">
        <v>77</v>
      </c>
      <c r="D50" s="37">
        <v>2547</v>
      </c>
      <c r="E50" s="3" t="s">
        <v>71</v>
      </c>
      <c r="F50" s="37">
        <f>$G$14*$J$19</f>
        <v>2026.8920000000001</v>
      </c>
      <c r="G50" s="37">
        <f t="shared" si="1"/>
        <v>434.334</v>
      </c>
      <c r="M50" s="3"/>
    </row>
    <row r="51" spans="2:13">
      <c r="B51" s="3" t="s">
        <v>126</v>
      </c>
      <c r="C51" s="3" t="s">
        <v>90</v>
      </c>
      <c r="D51" s="37">
        <v>2589</v>
      </c>
      <c r="E51" s="3" t="s">
        <v>27</v>
      </c>
      <c r="F51" s="37">
        <f>$G$14*$I$18</f>
        <v>1809.7250000000001</v>
      </c>
      <c r="G51" s="37">
        <f t="shared" si="1"/>
        <v>434.334</v>
      </c>
      <c r="M51" s="3"/>
    </row>
    <row r="52" spans="2:13">
      <c r="B52" s="3" t="s">
        <v>126</v>
      </c>
      <c r="C52" s="3" t="s">
        <v>90</v>
      </c>
      <c r="D52" s="37">
        <v>2589</v>
      </c>
      <c r="E52" s="3" t="s">
        <v>71</v>
      </c>
      <c r="F52" s="37">
        <f>$G$14*$J$18</f>
        <v>2678.393</v>
      </c>
      <c r="G52" s="37">
        <f t="shared" si="1"/>
        <v>434.334</v>
      </c>
      <c r="M52" s="3"/>
    </row>
    <row r="53" spans="2:13">
      <c r="B53" s="3" t="s">
        <v>126</v>
      </c>
      <c r="C53" s="3" t="s">
        <v>7</v>
      </c>
      <c r="D53" s="37">
        <v>4681</v>
      </c>
      <c r="E53" s="3" t="s">
        <v>27</v>
      </c>
      <c r="F53" s="37">
        <f>$G$14*$I$19</f>
        <v>1375.3910000000001</v>
      </c>
      <c r="G53" s="37">
        <f t="shared" si="1"/>
        <v>434.334</v>
      </c>
      <c r="M53" s="3"/>
    </row>
    <row r="54" spans="2:13">
      <c r="B54" s="3" t="s">
        <v>126</v>
      </c>
      <c r="C54" s="3" t="s">
        <v>7</v>
      </c>
      <c r="D54" s="37">
        <v>4681</v>
      </c>
      <c r="E54" s="3" t="s">
        <v>71</v>
      </c>
      <c r="F54" s="37">
        <f>$G$14*$J$19</f>
        <v>2026.8920000000001</v>
      </c>
      <c r="G54" s="37">
        <f t="shared" si="1"/>
        <v>434.334</v>
      </c>
      <c r="M54" s="3"/>
    </row>
    <row r="55" spans="2:13">
      <c r="B55" s="3" t="s">
        <v>126</v>
      </c>
      <c r="C55" s="3" t="s">
        <v>107</v>
      </c>
      <c r="D55" s="37">
        <v>1690</v>
      </c>
      <c r="E55" s="3" t="s">
        <v>27</v>
      </c>
      <c r="F55" s="37">
        <f>$G$14*$I$18</f>
        <v>1809.7250000000001</v>
      </c>
      <c r="G55" s="37">
        <f t="shared" si="1"/>
        <v>434.334</v>
      </c>
      <c r="M55" s="3"/>
    </row>
    <row r="56" spans="2:13">
      <c r="B56" s="3" t="s">
        <v>126</v>
      </c>
      <c r="C56" s="3" t="s">
        <v>107</v>
      </c>
      <c r="D56" s="37">
        <v>1690</v>
      </c>
      <c r="E56" s="3" t="s">
        <v>71</v>
      </c>
      <c r="F56" s="37">
        <f>$G$14*$J$18</f>
        <v>2678.393</v>
      </c>
      <c r="G56" s="37">
        <f t="shared" si="1"/>
        <v>434.334</v>
      </c>
      <c r="M56" s="3"/>
    </row>
    <row r="57" spans="2:13">
      <c r="B57" s="3" t="s">
        <v>126</v>
      </c>
      <c r="C57" s="3" t="s">
        <v>111</v>
      </c>
      <c r="D57" s="37">
        <v>3440</v>
      </c>
      <c r="E57" s="3" t="s">
        <v>27</v>
      </c>
      <c r="F57" s="37">
        <f>$G$14*$I$18</f>
        <v>1809.7250000000001</v>
      </c>
      <c r="G57" s="37">
        <f t="shared" si="1"/>
        <v>434.334</v>
      </c>
      <c r="M57" s="3"/>
    </row>
    <row r="58" spans="2:13">
      <c r="B58" s="3" t="s">
        <v>126</v>
      </c>
      <c r="C58" s="3" t="s">
        <v>111</v>
      </c>
      <c r="D58" s="37">
        <v>3440</v>
      </c>
      <c r="E58" s="3" t="s">
        <v>71</v>
      </c>
      <c r="F58" s="37">
        <f>$G$14*$J$18</f>
        <v>2678.393</v>
      </c>
      <c r="G58" s="37">
        <f t="shared" si="1"/>
        <v>434.334</v>
      </c>
      <c r="M58" s="3"/>
    </row>
    <row r="59" spans="2:13">
      <c r="B59" s="3" t="s">
        <v>126</v>
      </c>
      <c r="C59" s="3" t="s">
        <v>113</v>
      </c>
      <c r="D59" s="37">
        <v>6448</v>
      </c>
      <c r="E59" s="3" t="s">
        <v>27</v>
      </c>
      <c r="F59" s="37">
        <f>$G$14*$I$17</f>
        <v>2388.837</v>
      </c>
      <c r="G59" s="37">
        <f>$G$14*$J$21</f>
        <v>542.91750000000002</v>
      </c>
      <c r="M59" s="3"/>
    </row>
    <row r="60" spans="2:13">
      <c r="B60" s="3" t="s">
        <v>126</v>
      </c>
      <c r="C60" s="3" t="s">
        <v>113</v>
      </c>
      <c r="D60" s="37">
        <v>6448</v>
      </c>
      <c r="E60" s="3" t="s">
        <v>71</v>
      </c>
      <c r="F60" s="37">
        <f>$G$14*$J$17</f>
        <v>3619.4500000000003</v>
      </c>
      <c r="G60" s="37">
        <f>$G$14*$J$21</f>
        <v>542.91750000000002</v>
      </c>
      <c r="M60" s="3"/>
    </row>
    <row r="61" spans="2:13">
      <c r="B61" s="3" t="s">
        <v>126</v>
      </c>
      <c r="C61" s="3" t="s">
        <v>116</v>
      </c>
      <c r="D61" s="37">
        <v>3988</v>
      </c>
      <c r="E61" s="3" t="s">
        <v>27</v>
      </c>
      <c r="F61" s="37">
        <f>$G$14*$I$17</f>
        <v>2388.837</v>
      </c>
      <c r="G61" s="37">
        <f>$G$14*$J$21</f>
        <v>542.91750000000002</v>
      </c>
      <c r="M61" s="3"/>
    </row>
    <row r="62" spans="2:13">
      <c r="B62" s="3" t="s">
        <v>126</v>
      </c>
      <c r="C62" s="3" t="s">
        <v>116</v>
      </c>
      <c r="D62" s="37">
        <v>3988</v>
      </c>
      <c r="E62" s="3" t="s">
        <v>71</v>
      </c>
      <c r="F62" s="37">
        <f>$G$14*$J$17</f>
        <v>3619.4500000000003</v>
      </c>
      <c r="G62" s="37">
        <f>$G$14*$J$21</f>
        <v>542.91750000000002</v>
      </c>
      <c r="M62" s="3"/>
    </row>
    <row r="63" spans="2:13">
      <c r="B63" s="3" t="s">
        <v>126</v>
      </c>
      <c r="C63" s="3" t="s">
        <v>112</v>
      </c>
      <c r="D63" s="37">
        <v>4140</v>
      </c>
      <c r="E63" s="3" t="s">
        <v>27</v>
      </c>
      <c r="F63" s="37">
        <f>$G$14*$I$19</f>
        <v>1375.3910000000001</v>
      </c>
      <c r="G63" s="37">
        <f>$G$14*$J$22</f>
        <v>434.334</v>
      </c>
      <c r="M63" s="3"/>
    </row>
    <row r="64" spans="2:13">
      <c r="B64" s="3" t="s">
        <v>126</v>
      </c>
      <c r="C64" s="3" t="s">
        <v>112</v>
      </c>
      <c r="D64" s="37">
        <v>4140</v>
      </c>
      <c r="E64" s="3" t="s">
        <v>71</v>
      </c>
      <c r="F64" s="37">
        <f>$G$14*$J$19</f>
        <v>2026.8920000000001</v>
      </c>
      <c r="G64" s="37">
        <f>$G$14*$J$22</f>
        <v>434.334</v>
      </c>
      <c r="M64" s="3"/>
    </row>
    <row r="65" spans="2:13">
      <c r="B65" s="3" t="s">
        <v>126</v>
      </c>
      <c r="C65" s="3" t="s">
        <v>117</v>
      </c>
      <c r="D65" s="37">
        <v>2460</v>
      </c>
      <c r="E65" s="3" t="s">
        <v>27</v>
      </c>
      <c r="F65" s="37">
        <f>$G$14*$I$19</f>
        <v>1375.3910000000001</v>
      </c>
      <c r="G65" s="37">
        <f>$G$14*$J$22</f>
        <v>434.334</v>
      </c>
      <c r="M65" s="3"/>
    </row>
    <row r="66" spans="2:13">
      <c r="B66" s="3" t="s">
        <v>126</v>
      </c>
      <c r="C66" s="3" t="s">
        <v>117</v>
      </c>
      <c r="D66" s="37">
        <v>2460</v>
      </c>
      <c r="E66" s="3" t="s">
        <v>71</v>
      </c>
      <c r="F66" s="37">
        <f>$G$14*$J$19</f>
        <v>2026.8920000000001</v>
      </c>
      <c r="G66" s="37">
        <f>$G$14*$J$22</f>
        <v>434.334</v>
      </c>
      <c r="M66" s="3"/>
    </row>
    <row r="67" spans="2:13">
      <c r="B67" s="3" t="s">
        <v>126</v>
      </c>
      <c r="C67" s="3" t="s">
        <v>120</v>
      </c>
      <c r="D67" s="37">
        <v>10200</v>
      </c>
      <c r="E67" s="3" t="s">
        <v>27</v>
      </c>
      <c r="F67" s="37">
        <f>$G$14*$I$17</f>
        <v>2388.837</v>
      </c>
      <c r="G67" s="37">
        <f>$G$14*$J$21</f>
        <v>542.91750000000002</v>
      </c>
      <c r="M67" s="3"/>
    </row>
    <row r="68" spans="2:13">
      <c r="B68" s="3" t="s">
        <v>126</v>
      </c>
      <c r="C68" s="3" t="s">
        <v>120</v>
      </c>
      <c r="D68" s="37">
        <v>10200</v>
      </c>
      <c r="E68" s="3" t="s">
        <v>71</v>
      </c>
      <c r="F68" s="37">
        <f>$G$14*$J$17</f>
        <v>3619.4500000000003</v>
      </c>
      <c r="G68" s="37">
        <f>$G$14*$J$21</f>
        <v>542.91750000000002</v>
      </c>
      <c r="M68" s="3"/>
    </row>
    <row r="69" spans="2:13">
      <c r="B69" s="3" t="s">
        <v>126</v>
      </c>
      <c r="C69" s="3" t="s">
        <v>124</v>
      </c>
      <c r="D69" s="37">
        <v>9160</v>
      </c>
      <c r="E69" s="3" t="s">
        <v>27</v>
      </c>
      <c r="F69" s="37">
        <f>$G$14*$I$18</f>
        <v>1809.7250000000001</v>
      </c>
      <c r="G69" s="37">
        <f>$G$14*$J$22</f>
        <v>434.334</v>
      </c>
      <c r="M69" s="3"/>
    </row>
    <row r="70" spans="2:13">
      <c r="B70" s="3" t="s">
        <v>126</v>
      </c>
      <c r="C70" s="3" t="s">
        <v>124</v>
      </c>
      <c r="D70" s="37">
        <v>9160</v>
      </c>
      <c r="E70" s="3" t="s">
        <v>71</v>
      </c>
      <c r="F70" s="37">
        <f>$G$14*$J$18</f>
        <v>2678.393</v>
      </c>
      <c r="G70" s="37">
        <f>$G$14*$J$22</f>
        <v>434.334</v>
      </c>
      <c r="M70" s="3"/>
    </row>
    <row r="71" spans="2:13">
      <c r="B71" s="3" t="s">
        <v>126</v>
      </c>
      <c r="C71" s="3" t="s">
        <v>125</v>
      </c>
      <c r="D71" s="37">
        <v>1780</v>
      </c>
      <c r="E71" s="3" t="s">
        <v>27</v>
      </c>
      <c r="F71" s="37">
        <f>$G$14*$I$18</f>
        <v>1809.7250000000001</v>
      </c>
      <c r="G71" s="37">
        <f>$G$14*$J$22</f>
        <v>434.334</v>
      </c>
      <c r="M71" s="3"/>
    </row>
    <row r="72" spans="2:13">
      <c r="B72" s="3" t="s">
        <v>126</v>
      </c>
      <c r="C72" s="3" t="s">
        <v>125</v>
      </c>
      <c r="D72" s="37">
        <v>1780</v>
      </c>
      <c r="E72" s="3" t="s">
        <v>71</v>
      </c>
      <c r="F72" s="37">
        <f>$G$14*$J$18</f>
        <v>2678.393</v>
      </c>
      <c r="G72" s="37">
        <f>$G$14*$J$22</f>
        <v>434.334</v>
      </c>
      <c r="M72" s="3"/>
    </row>
    <row r="73" spans="2:13">
      <c r="B73" s="3" t="s">
        <v>128</v>
      </c>
      <c r="C73" s="3" t="s">
        <v>9</v>
      </c>
      <c r="D73" s="37">
        <v>215</v>
      </c>
      <c r="E73" s="3" t="s">
        <v>27</v>
      </c>
      <c r="F73" s="37">
        <f>$G$14*$I$19</f>
        <v>1375.3910000000001</v>
      </c>
      <c r="G73" s="37">
        <v>300</v>
      </c>
      <c r="M73" s="3"/>
    </row>
    <row r="74" spans="2:13">
      <c r="B74" s="3" t="s">
        <v>128</v>
      </c>
      <c r="C74" s="3" t="s">
        <v>9</v>
      </c>
      <c r="D74" s="37">
        <v>215</v>
      </c>
      <c r="E74" s="3" t="s">
        <v>71</v>
      </c>
      <c r="F74" s="37">
        <f>$G$14*$J$19</f>
        <v>2026.8920000000001</v>
      </c>
      <c r="G74" s="37">
        <v>300</v>
      </c>
      <c r="M74" s="3"/>
    </row>
    <row r="75" spans="2:13">
      <c r="B75" s="3"/>
      <c r="C75" s="3"/>
      <c r="D75" s="3"/>
      <c r="E75" s="3"/>
      <c r="F75" s="3"/>
      <c r="G75" s="3"/>
      <c r="M75" s="3"/>
    </row>
    <row r="76" spans="2:13">
      <c r="B76" s="3"/>
      <c r="C76" s="3"/>
      <c r="D76" s="3"/>
      <c r="E76" s="3"/>
      <c r="F76" s="3"/>
      <c r="G76" s="3"/>
      <c r="M76" s="3"/>
    </row>
    <row r="77" spans="2:13">
      <c r="B77" s="3"/>
      <c r="C77" s="3"/>
      <c r="D77" s="3"/>
      <c r="E77" s="3"/>
      <c r="F77" s="3"/>
      <c r="G77" s="3"/>
      <c r="M77" s="3"/>
    </row>
    <row r="78" spans="2:13">
      <c r="B78" s="69" t="s">
        <v>131</v>
      </c>
      <c r="C78" s="70"/>
      <c r="D78" s="3"/>
      <c r="E78" s="3"/>
      <c r="F78" s="3"/>
      <c r="G78" s="3"/>
      <c r="M78" s="3"/>
    </row>
    <row r="79" spans="2:13">
      <c r="B79" s="69" t="s">
        <v>133</v>
      </c>
      <c r="C79" s="69" t="s">
        <v>132</v>
      </c>
      <c r="D79" s="3"/>
      <c r="E79" s="3"/>
      <c r="F79" s="3"/>
      <c r="G79" s="3"/>
      <c r="M79" s="3"/>
    </row>
    <row r="80" spans="2:13">
      <c r="B80" s="70" t="s">
        <v>134</v>
      </c>
      <c r="C80" s="71" t="s">
        <v>135</v>
      </c>
      <c r="D80" s="3"/>
      <c r="E80" s="3"/>
      <c r="F80" s="3"/>
      <c r="G80" s="3"/>
      <c r="M80" s="3"/>
    </row>
    <row r="81" spans="3:13">
      <c r="C81" s="68"/>
      <c r="D81" s="3"/>
      <c r="E81" s="3"/>
      <c r="F81" s="3"/>
      <c r="G81" s="3"/>
      <c r="M81" s="3"/>
    </row>
    <row r="82" spans="3:13">
      <c r="C82" s="68"/>
      <c r="D82" s="3"/>
      <c r="E82" s="3"/>
      <c r="F82" s="3"/>
      <c r="G82" s="3"/>
      <c r="M82" s="3"/>
    </row>
    <row r="83" spans="3:13">
      <c r="C83" s="68"/>
      <c r="D83" s="3"/>
      <c r="E83" s="3"/>
      <c r="F83" s="3"/>
      <c r="G83" s="3"/>
      <c r="M83" s="3"/>
    </row>
    <row r="84" spans="3:13">
      <c r="C84" s="68"/>
      <c r="D84" s="3"/>
      <c r="E84" s="3"/>
      <c r="F84" s="3"/>
      <c r="G84" s="3"/>
      <c r="M84" s="3"/>
    </row>
    <row r="85" spans="3:13">
      <c r="C85" s="68"/>
      <c r="D85" s="3"/>
      <c r="E85" s="3"/>
      <c r="F85" s="3"/>
      <c r="G85" s="3"/>
      <c r="M85" s="3"/>
    </row>
    <row r="86" spans="3:13">
      <c r="C86" s="68"/>
      <c r="D86" s="3"/>
      <c r="E86" s="3"/>
      <c r="F86" s="3"/>
      <c r="G86" s="3"/>
      <c r="M86" s="3"/>
    </row>
    <row r="87" spans="3:13">
      <c r="C87" s="68"/>
      <c r="D87" s="3"/>
      <c r="E87" s="3"/>
      <c r="F87" s="3"/>
      <c r="G87" s="3"/>
      <c r="M87" s="3"/>
    </row>
    <row r="88" spans="3:13">
      <c r="C88" s="68"/>
      <c r="D88" s="3"/>
      <c r="E88" s="3"/>
      <c r="F88" s="3"/>
      <c r="G88" s="3"/>
      <c r="M88" s="3"/>
    </row>
    <row r="89" spans="3:13">
      <c r="C89" s="68"/>
      <c r="D89" s="3"/>
      <c r="E89" s="3"/>
      <c r="F89" s="3"/>
      <c r="G89" s="3"/>
      <c r="M89" s="3"/>
    </row>
    <row r="90" spans="3:13">
      <c r="C90" s="68"/>
      <c r="D90" s="3"/>
      <c r="E90" s="3"/>
      <c r="F90" s="3"/>
      <c r="G90" s="3"/>
      <c r="M90" s="3"/>
    </row>
    <row r="91" spans="3:13">
      <c r="C91" s="68"/>
      <c r="D91" s="3"/>
      <c r="E91" s="3"/>
      <c r="F91" s="3"/>
      <c r="G91" s="3"/>
      <c r="M91" s="3"/>
    </row>
    <row r="92" spans="3:13">
      <c r="C92" s="68"/>
      <c r="D92" s="3"/>
      <c r="E92" s="3"/>
      <c r="F92" s="3"/>
      <c r="G92" s="3"/>
      <c r="M92" s="3"/>
    </row>
    <row r="93" spans="3:13">
      <c r="C93" s="68"/>
      <c r="D93" s="3"/>
      <c r="E93" s="3"/>
      <c r="F93" s="3"/>
      <c r="G93" s="3"/>
      <c r="M93" s="3"/>
    </row>
    <row r="94" spans="3:13">
      <c r="C94" s="68"/>
      <c r="D94" s="3"/>
      <c r="E94" s="3"/>
      <c r="F94" s="3"/>
      <c r="G94" s="3"/>
      <c r="M94" s="3"/>
    </row>
    <row r="95" spans="3:13">
      <c r="C95" s="68"/>
      <c r="D95" s="3"/>
      <c r="E95" s="3"/>
      <c r="F95" s="3"/>
      <c r="G95" s="3"/>
      <c r="M95" s="3"/>
    </row>
    <row r="96" spans="3:13">
      <c r="C96" s="68"/>
      <c r="D96" s="3"/>
      <c r="E96" s="3"/>
      <c r="F96" s="3"/>
      <c r="G96" s="3"/>
      <c r="M96" s="3"/>
    </row>
    <row r="97" spans="2:13">
      <c r="B97" s="3"/>
      <c r="C97" s="3"/>
      <c r="D97" s="3"/>
      <c r="E97" s="3"/>
      <c r="F97" s="3"/>
      <c r="G97" s="3"/>
      <c r="M97" s="3"/>
    </row>
    <row r="98" spans="2:13">
      <c r="B98" s="3"/>
      <c r="C98" s="3"/>
      <c r="D98" s="3"/>
      <c r="E98" s="3"/>
      <c r="F98" s="3"/>
      <c r="G98" s="3"/>
      <c r="M98" s="3"/>
    </row>
    <row r="99" spans="2:13">
      <c r="B99" s="3"/>
      <c r="C99" s="3"/>
      <c r="D99" s="3"/>
      <c r="E99" s="3"/>
      <c r="F99" s="3"/>
      <c r="G99" s="3"/>
      <c r="M99" s="3"/>
    </row>
    <row r="100" spans="2:13">
      <c r="B100" s="3"/>
      <c r="C100" s="3"/>
      <c r="D100" s="3"/>
      <c r="E100" s="3"/>
      <c r="F100" s="3"/>
      <c r="G100" s="3"/>
      <c r="M100" s="3"/>
    </row>
    <row r="101" spans="2:13">
      <c r="B101" s="3"/>
      <c r="C101" s="3"/>
      <c r="D101" s="3"/>
      <c r="E101" s="3"/>
      <c r="F101" s="3"/>
      <c r="G101" s="3"/>
      <c r="M101" s="3"/>
    </row>
    <row r="102" spans="2:13">
      <c r="B102" s="3"/>
      <c r="C102" s="3"/>
      <c r="D102" s="3"/>
      <c r="E102" s="3"/>
      <c r="F102" s="3"/>
      <c r="G102" s="3"/>
      <c r="M102" s="3"/>
    </row>
    <row r="103" spans="2:13">
      <c r="B103" s="3"/>
      <c r="C103" s="3"/>
      <c r="D103" s="3"/>
      <c r="E103" s="3"/>
      <c r="F103" s="3"/>
      <c r="G103" s="3"/>
      <c r="M103" s="3"/>
    </row>
    <row r="104" spans="2:13">
      <c r="B104" s="3"/>
      <c r="C104" s="3"/>
      <c r="D104" s="3"/>
      <c r="E104" s="3"/>
      <c r="F104" s="3"/>
      <c r="G104" s="3"/>
      <c r="M104" s="3"/>
    </row>
    <row r="105" spans="2:13">
      <c r="B105" s="3"/>
      <c r="C105" s="3"/>
      <c r="D105" s="3"/>
      <c r="E105" s="3"/>
      <c r="F105" s="3"/>
      <c r="G105" s="3"/>
      <c r="M105" s="3"/>
    </row>
    <row r="106" spans="2:13">
      <c r="B106" s="3"/>
      <c r="C106" s="3"/>
      <c r="D106" s="3"/>
      <c r="E106" s="3"/>
      <c r="F106" s="3"/>
      <c r="G106" s="3"/>
      <c r="M106" s="3"/>
    </row>
    <row r="107" spans="2:13">
      <c r="B107" s="3"/>
      <c r="C107" s="3"/>
      <c r="D107" s="3"/>
      <c r="E107" s="3"/>
      <c r="F107" s="3"/>
      <c r="G107" s="3"/>
      <c r="M107" s="3"/>
    </row>
    <row r="108" spans="2:13">
      <c r="B108" s="3"/>
      <c r="C108" s="3"/>
      <c r="D108" s="3"/>
      <c r="E108" s="3"/>
      <c r="F108" s="3"/>
      <c r="G108" s="3"/>
      <c r="M108" s="3"/>
    </row>
    <row r="109" spans="2:13">
      <c r="B109" s="3"/>
      <c r="C109" s="3"/>
      <c r="D109" s="3"/>
      <c r="E109" s="3"/>
      <c r="F109" s="3"/>
      <c r="G109" s="3"/>
      <c r="M109" s="3"/>
    </row>
    <row r="110" spans="2:13">
      <c r="B110" s="3"/>
      <c r="C110" s="3"/>
      <c r="D110" s="3"/>
      <c r="E110" s="3"/>
      <c r="F110" s="3"/>
      <c r="G110" s="3"/>
      <c r="M110" s="3"/>
    </row>
    <row r="111" spans="2:13">
      <c r="B111" s="3"/>
      <c r="C111" s="3"/>
      <c r="D111" s="3"/>
      <c r="E111" s="3"/>
      <c r="F111" s="3"/>
      <c r="G111" s="3"/>
      <c r="M111" s="3"/>
    </row>
    <row r="112" spans="2:13">
      <c r="B112" s="3"/>
      <c r="C112" s="3"/>
      <c r="D112" s="3"/>
      <c r="E112" s="3"/>
      <c r="F112" s="3"/>
      <c r="G112" s="3"/>
      <c r="M112" s="3"/>
    </row>
    <row r="113" spans="2:13">
      <c r="B113" s="3"/>
      <c r="C113" s="3"/>
      <c r="D113" s="3"/>
      <c r="E113" s="3"/>
      <c r="F113" s="3"/>
      <c r="G113" s="3"/>
      <c r="M113" s="3"/>
    </row>
    <row r="114" spans="2:13">
      <c r="B114" s="3"/>
      <c r="C114" s="3"/>
      <c r="D114" s="3"/>
      <c r="E114" s="3"/>
      <c r="F114" s="3"/>
      <c r="G114" s="3"/>
      <c r="M114" s="3"/>
    </row>
    <row r="115" spans="2:13">
      <c r="B115" s="3"/>
      <c r="C115" s="3"/>
      <c r="D115" s="3"/>
      <c r="E115" s="3"/>
      <c r="F115" s="3"/>
      <c r="G115" s="3"/>
      <c r="M115" s="3"/>
    </row>
    <row r="116" spans="2:13">
      <c r="B116" s="3"/>
      <c r="C116" s="3"/>
      <c r="D116" s="3"/>
      <c r="E116" s="3"/>
      <c r="F116" s="3"/>
      <c r="G116" s="3"/>
      <c r="M116" s="3"/>
    </row>
    <row r="117" spans="2:13">
      <c r="B117" s="3"/>
      <c r="C117" s="3"/>
      <c r="D117" s="3"/>
      <c r="E117" s="3"/>
      <c r="F117" s="3"/>
      <c r="G117" s="3"/>
      <c r="M117" s="3"/>
    </row>
    <row r="118" spans="2:13">
      <c r="B118" s="3"/>
      <c r="C118" s="3"/>
      <c r="D118" s="3"/>
      <c r="E118" s="3"/>
      <c r="F118" s="3"/>
      <c r="G118" s="3"/>
      <c r="M118" s="3"/>
    </row>
    <row r="119" spans="2:13">
      <c r="B119" s="3"/>
      <c r="C119" s="3"/>
      <c r="D119" s="3"/>
      <c r="E119" s="3"/>
      <c r="F119" s="3"/>
      <c r="G119" s="3"/>
      <c r="M119" s="3"/>
    </row>
    <row r="120" spans="2:13">
      <c r="B120" s="3"/>
      <c r="C120" s="3"/>
      <c r="D120" s="3"/>
      <c r="E120" s="3"/>
      <c r="F120" s="3"/>
      <c r="G120" s="3"/>
      <c r="M120" s="3"/>
    </row>
    <row r="121" spans="2:13">
      <c r="B121" s="3"/>
      <c r="C121" s="3"/>
      <c r="D121" s="3"/>
      <c r="E121" s="3"/>
      <c r="F121" s="3"/>
      <c r="G121" s="3"/>
      <c r="M121" s="3"/>
    </row>
    <row r="122" spans="2:13">
      <c r="B122" s="3"/>
      <c r="C122" s="3"/>
      <c r="D122" s="3"/>
      <c r="E122" s="3"/>
      <c r="F122" s="3"/>
      <c r="G122" s="3"/>
      <c r="M122" s="3"/>
    </row>
    <row r="123" spans="2:13">
      <c r="B123" s="3"/>
      <c r="C123" s="3"/>
      <c r="D123" s="3"/>
      <c r="E123" s="3"/>
      <c r="F123" s="3"/>
      <c r="G123" s="3"/>
      <c r="M123" s="3"/>
    </row>
    <row r="124" spans="2:13">
      <c r="B124" s="3"/>
      <c r="C124" s="3"/>
      <c r="D124" s="3"/>
      <c r="E124" s="3"/>
      <c r="F124" s="3"/>
      <c r="G124" s="3"/>
      <c r="M124" s="3"/>
    </row>
    <row r="125" spans="2:13">
      <c r="B125" s="3"/>
      <c r="C125" s="3"/>
      <c r="D125" s="3"/>
      <c r="E125" s="3"/>
      <c r="F125" s="3"/>
      <c r="G125" s="3"/>
      <c r="M125" s="3"/>
    </row>
    <row r="126" spans="2:13">
      <c r="B126" s="3"/>
      <c r="C126" s="3"/>
      <c r="D126" s="3"/>
      <c r="E126" s="3"/>
      <c r="F126" s="3"/>
      <c r="G126" s="3"/>
      <c r="M126" s="3"/>
    </row>
    <row r="127" spans="2:13">
      <c r="B127" s="3"/>
      <c r="C127" s="3"/>
      <c r="D127" s="3"/>
      <c r="E127" s="3"/>
      <c r="F127" s="3"/>
      <c r="G127" s="3"/>
      <c r="M127" s="3"/>
    </row>
    <row r="128" spans="2:13">
      <c r="B128" s="3"/>
      <c r="C128" s="3"/>
      <c r="D128" s="3"/>
      <c r="E128" s="3"/>
      <c r="F128" s="3"/>
      <c r="G128" s="3"/>
      <c r="M128" s="3"/>
    </row>
    <row r="129" spans="2:13">
      <c r="B129" s="3"/>
      <c r="C129" s="3"/>
      <c r="D129" s="3"/>
      <c r="E129" s="3"/>
      <c r="F129" s="3"/>
      <c r="G129" s="3"/>
      <c r="M129" s="3"/>
    </row>
    <row r="130" spans="2:13">
      <c r="B130" s="3"/>
      <c r="C130" s="3"/>
      <c r="D130" s="3"/>
      <c r="E130" s="3"/>
      <c r="F130" s="3"/>
      <c r="G130" s="3"/>
      <c r="M130" s="3"/>
    </row>
    <row r="131" spans="2:13">
      <c r="B131" s="3"/>
      <c r="C131" s="3"/>
      <c r="D131" s="3"/>
      <c r="E131" s="3"/>
      <c r="F131" s="3"/>
      <c r="G131" s="3"/>
      <c r="M131" s="3"/>
    </row>
    <row r="132" spans="2:13">
      <c r="B132" s="3"/>
      <c r="C132" s="3"/>
      <c r="D132" s="3"/>
      <c r="E132" s="3"/>
      <c r="F132" s="3"/>
      <c r="G132" s="3"/>
      <c r="M132" s="3"/>
    </row>
    <row r="133" spans="2:13">
      <c r="B133" s="3"/>
      <c r="C133" s="3"/>
      <c r="D133" s="3"/>
      <c r="E133" s="3"/>
      <c r="F133" s="3"/>
      <c r="G133" s="3"/>
      <c r="M133" s="3"/>
    </row>
    <row r="134" spans="2:13">
      <c r="B134" s="3"/>
      <c r="C134" s="3"/>
      <c r="D134" s="3"/>
      <c r="E134" s="3"/>
      <c r="F134" s="3"/>
      <c r="G134" s="3"/>
      <c r="M134" s="3"/>
    </row>
    <row r="135" spans="2:13">
      <c r="B135" s="3"/>
      <c r="C135" s="3"/>
      <c r="D135" s="3"/>
      <c r="E135" s="3"/>
      <c r="F135" s="3"/>
      <c r="G135" s="3"/>
      <c r="M135" s="3"/>
    </row>
    <row r="136" spans="2:13">
      <c r="B136" s="3"/>
      <c r="C136" s="3"/>
      <c r="D136" s="3"/>
      <c r="E136" s="3"/>
      <c r="F136" s="3"/>
      <c r="G136" s="3"/>
      <c r="M136" s="3"/>
    </row>
    <row r="137" spans="2:13">
      <c r="B137" s="3"/>
      <c r="C137" s="3"/>
      <c r="D137" s="3"/>
      <c r="E137" s="3"/>
      <c r="F137" s="3"/>
      <c r="G137" s="3"/>
      <c r="M137" s="3"/>
    </row>
    <row r="138" spans="2:13">
      <c r="B138" s="3"/>
      <c r="C138" s="3"/>
      <c r="D138" s="3"/>
      <c r="E138" s="3"/>
      <c r="F138" s="3"/>
      <c r="G138" s="3"/>
      <c r="M138" s="3"/>
    </row>
    <row r="139" spans="2:13">
      <c r="B139" s="3"/>
      <c r="C139" s="3"/>
      <c r="D139" s="3"/>
      <c r="E139" s="3"/>
      <c r="F139" s="3"/>
      <c r="G139" s="3"/>
      <c r="M139" s="3"/>
    </row>
    <row r="140" spans="2:13">
      <c r="B140" s="3"/>
      <c r="C140" s="3"/>
      <c r="D140" s="3"/>
      <c r="E140" s="3"/>
      <c r="F140" s="3"/>
      <c r="G140" s="3"/>
      <c r="M140" s="3"/>
    </row>
    <row r="141" spans="2:13">
      <c r="B141" s="3"/>
      <c r="C141" s="3"/>
      <c r="D141" s="3"/>
      <c r="E141" s="3"/>
      <c r="F141" s="3"/>
      <c r="G141" s="3"/>
      <c r="M141" s="3"/>
    </row>
    <row r="142" spans="2:13">
      <c r="B142" s="3"/>
      <c r="C142" s="3"/>
      <c r="D142" s="3"/>
      <c r="E142" s="3"/>
      <c r="F142" s="3"/>
      <c r="G142" s="3"/>
      <c r="M142" s="3"/>
    </row>
    <row r="143" spans="2:13">
      <c r="B143" s="3"/>
      <c r="C143" s="3"/>
      <c r="D143" s="3"/>
      <c r="E143" s="3"/>
      <c r="F143" s="3"/>
      <c r="G143" s="3"/>
      <c r="M143" s="3"/>
    </row>
    <row r="144" spans="2:13">
      <c r="B144" s="3"/>
      <c r="C144" s="3"/>
      <c r="D144" s="3"/>
      <c r="E144" s="3"/>
      <c r="F144" s="3"/>
      <c r="G144" s="3"/>
      <c r="M144" s="3"/>
    </row>
    <row r="145" spans="2:13">
      <c r="B145" s="3"/>
      <c r="C145" s="3"/>
      <c r="D145" s="3"/>
      <c r="E145" s="3"/>
      <c r="F145" s="3"/>
      <c r="G145" s="3"/>
      <c r="M145" s="3"/>
    </row>
    <row r="146" spans="2:13">
      <c r="B146" s="3"/>
      <c r="C146" s="3"/>
      <c r="D146" s="3"/>
      <c r="E146" s="3"/>
      <c r="F146" s="3"/>
      <c r="G146" s="3"/>
      <c r="M146" s="3"/>
    </row>
    <row r="147" spans="2:13">
      <c r="B147" s="3"/>
      <c r="C147" s="3"/>
      <c r="D147" s="3"/>
      <c r="E147" s="3"/>
      <c r="F147" s="3"/>
      <c r="G147" s="3"/>
      <c r="M147" s="3"/>
    </row>
    <row r="148" spans="2:13">
      <c r="B148" s="3"/>
      <c r="C148" s="3"/>
      <c r="D148" s="3"/>
      <c r="E148" s="3"/>
      <c r="F148" s="3"/>
      <c r="G148" s="3"/>
      <c r="M148" s="3"/>
    </row>
    <row r="149" spans="2:13">
      <c r="B149" s="3"/>
      <c r="C149" s="3"/>
      <c r="D149" s="3"/>
      <c r="E149" s="3"/>
      <c r="F149" s="3"/>
      <c r="G149" s="3"/>
      <c r="M149" s="3"/>
    </row>
    <row r="150" spans="2:13">
      <c r="B150" s="3"/>
      <c r="C150" s="3"/>
      <c r="D150" s="3"/>
      <c r="E150" s="3"/>
      <c r="F150" s="3"/>
      <c r="G150" s="3"/>
      <c r="M150" s="3"/>
    </row>
    <row r="151" spans="2:13">
      <c r="B151" s="3"/>
      <c r="C151" s="3"/>
      <c r="D151" s="3"/>
      <c r="E151" s="3"/>
      <c r="F151" s="3"/>
      <c r="G151" s="3"/>
      <c r="M151" s="3"/>
    </row>
    <row r="152" spans="2:13">
      <c r="B152" s="3"/>
      <c r="C152" s="3"/>
      <c r="D152" s="3"/>
      <c r="E152" s="3"/>
      <c r="F152" s="3"/>
      <c r="G152" s="3"/>
      <c r="M152" s="3"/>
    </row>
    <row r="153" spans="2:13">
      <c r="B153" s="3"/>
      <c r="C153" s="3"/>
      <c r="D153" s="3"/>
      <c r="E153" s="3"/>
      <c r="F153" s="3"/>
      <c r="G153" s="3"/>
      <c r="M153" s="3"/>
    </row>
    <row r="154" spans="2:13">
      <c r="B154" s="3"/>
      <c r="C154" s="3"/>
      <c r="D154" s="3"/>
      <c r="E154" s="3"/>
      <c r="F154" s="3"/>
      <c r="G154" s="3"/>
      <c r="M154" s="3"/>
    </row>
    <row r="155" spans="2:13">
      <c r="B155" s="3"/>
      <c r="C155" s="3"/>
      <c r="D155" s="3"/>
      <c r="E155" s="3"/>
      <c r="F155" s="3"/>
      <c r="G155" s="3"/>
      <c r="M155" s="3"/>
    </row>
    <row r="156" spans="2:13">
      <c r="B156" s="3"/>
      <c r="C156" s="3"/>
      <c r="D156" s="3"/>
      <c r="E156" s="3"/>
      <c r="F156" s="3"/>
      <c r="G156" s="3"/>
      <c r="M156" s="3"/>
    </row>
    <row r="157" spans="2:13">
      <c r="B157" s="3"/>
      <c r="C157" s="3"/>
      <c r="D157" s="3"/>
      <c r="E157" s="3"/>
      <c r="F157" s="3"/>
      <c r="G157" s="3"/>
      <c r="M157" s="3"/>
    </row>
    <row r="158" spans="2:13">
      <c r="B158" s="3"/>
      <c r="C158" s="3"/>
      <c r="D158" s="3"/>
      <c r="E158" s="3"/>
      <c r="F158" s="3"/>
      <c r="G158" s="3"/>
      <c r="M158" s="3"/>
    </row>
    <row r="159" spans="2:13">
      <c r="B159" s="3"/>
      <c r="C159" s="3"/>
      <c r="D159" s="3"/>
      <c r="E159" s="3"/>
      <c r="F159" s="3"/>
      <c r="G159" s="3"/>
      <c r="M159" s="3"/>
    </row>
    <row r="160" spans="2:13">
      <c r="B160" s="3"/>
      <c r="C160" s="3"/>
      <c r="D160" s="3"/>
      <c r="E160" s="3"/>
      <c r="F160" s="3"/>
      <c r="G160" s="3"/>
      <c r="M160" s="3"/>
    </row>
    <row r="161" spans="2:13">
      <c r="B161" s="3"/>
      <c r="C161" s="3"/>
      <c r="D161" s="3"/>
      <c r="E161" s="3"/>
      <c r="F161" s="3"/>
      <c r="G161" s="3"/>
      <c r="M161" s="3"/>
    </row>
    <row r="162" spans="2:13">
      <c r="B162" s="3"/>
      <c r="C162" s="3"/>
      <c r="D162" s="3"/>
      <c r="E162" s="3"/>
      <c r="F162" s="3"/>
      <c r="G162" s="3"/>
      <c r="M162" s="3"/>
    </row>
    <row r="163" spans="2:13">
      <c r="B163" s="3"/>
      <c r="C163" s="3"/>
      <c r="D163" s="3"/>
      <c r="E163" s="3"/>
      <c r="F163" s="3"/>
      <c r="G163" s="3"/>
      <c r="M163" s="3"/>
    </row>
    <row r="164" spans="2:13">
      <c r="B164" s="3"/>
      <c r="C164" s="3"/>
      <c r="D164" s="3"/>
      <c r="E164" s="3"/>
      <c r="F164" s="3"/>
      <c r="G164" s="3"/>
      <c r="M164" s="3"/>
    </row>
    <row r="165" spans="2:13">
      <c r="B165" s="3"/>
      <c r="C165" s="3"/>
      <c r="D165" s="3"/>
      <c r="E165" s="3"/>
      <c r="F165" s="3"/>
      <c r="G165" s="3"/>
      <c r="M165" s="3"/>
    </row>
    <row r="166" spans="2:13">
      <c r="B166" s="3"/>
      <c r="C166" s="3"/>
      <c r="D166" s="3"/>
      <c r="E166" s="3"/>
      <c r="F166" s="3"/>
      <c r="G166" s="3"/>
      <c r="M166" s="3"/>
    </row>
    <row r="167" spans="2:13">
      <c r="B167" s="3"/>
      <c r="C167" s="3"/>
      <c r="D167" s="3"/>
      <c r="E167" s="3"/>
      <c r="F167" s="3"/>
      <c r="G167" s="3"/>
      <c r="M167" s="3"/>
    </row>
    <row r="168" spans="2:13">
      <c r="B168" s="3"/>
      <c r="C168" s="3"/>
      <c r="D168" s="3"/>
      <c r="E168" s="3"/>
      <c r="F168" s="3"/>
      <c r="G168" s="3"/>
      <c r="M168" s="3"/>
    </row>
    <row r="169" spans="2:13">
      <c r="B169" s="3"/>
      <c r="C169" s="3"/>
      <c r="D169" s="3"/>
      <c r="E169" s="3"/>
      <c r="F169" s="3"/>
      <c r="G169" s="3"/>
      <c r="M169" s="3"/>
    </row>
    <row r="170" spans="2:13">
      <c r="B170" s="3"/>
      <c r="C170" s="3"/>
      <c r="D170" s="3"/>
      <c r="E170" s="3"/>
      <c r="F170" s="3"/>
      <c r="G170" s="3"/>
      <c r="M170" s="3"/>
    </row>
    <row r="171" spans="2:13">
      <c r="B171" s="3"/>
      <c r="C171" s="3"/>
      <c r="D171" s="3"/>
      <c r="E171" s="3"/>
      <c r="F171" s="3"/>
      <c r="G171" s="3"/>
      <c r="M171" s="3"/>
    </row>
    <row r="172" spans="2:13">
      <c r="B172" s="3"/>
      <c r="C172" s="3"/>
      <c r="D172" s="3"/>
      <c r="E172" s="3"/>
      <c r="F172" s="3"/>
      <c r="G172" s="3"/>
      <c r="M172" s="3"/>
    </row>
    <row r="173" spans="2:13">
      <c r="B173" s="3"/>
      <c r="C173" s="3"/>
      <c r="D173" s="3"/>
      <c r="E173" s="3"/>
      <c r="F173" s="3"/>
      <c r="G173" s="3"/>
      <c r="M173" s="3"/>
    </row>
    <row r="174" spans="2:13">
      <c r="B174" s="3"/>
      <c r="C174" s="3"/>
      <c r="D174" s="3"/>
      <c r="E174" s="3"/>
      <c r="F174" s="3"/>
      <c r="G174" s="3"/>
      <c r="M174" s="3"/>
    </row>
    <row r="175" spans="2:13">
      <c r="B175" s="3"/>
      <c r="C175" s="3"/>
      <c r="D175" s="3"/>
      <c r="E175" s="3"/>
      <c r="F175" s="3"/>
      <c r="G175" s="3"/>
      <c r="M175" s="3"/>
    </row>
    <row r="176" spans="2:13">
      <c r="B176" s="3"/>
      <c r="C176" s="3"/>
      <c r="D176" s="3"/>
      <c r="E176" s="3"/>
      <c r="F176" s="3"/>
      <c r="G176" s="3"/>
      <c r="M176" s="3"/>
    </row>
    <row r="177" spans="2:13">
      <c r="B177" s="3"/>
      <c r="C177" s="3"/>
      <c r="D177" s="3"/>
      <c r="E177" s="3"/>
      <c r="F177" s="3"/>
      <c r="G177" s="3"/>
      <c r="M177" s="3"/>
    </row>
    <row r="178" spans="2:13">
      <c r="B178" s="3"/>
      <c r="C178" s="3"/>
      <c r="D178" s="3"/>
      <c r="E178" s="3"/>
      <c r="F178" s="3"/>
      <c r="G178" s="3"/>
      <c r="M178" s="3"/>
    </row>
    <row r="179" spans="2:13">
      <c r="B179" s="3"/>
      <c r="C179" s="3"/>
      <c r="D179" s="3"/>
      <c r="E179" s="3"/>
      <c r="F179" s="3"/>
      <c r="G179" s="3"/>
      <c r="M179" s="3"/>
    </row>
    <row r="180" spans="2:13">
      <c r="B180" s="3"/>
      <c r="C180" s="3"/>
      <c r="D180" s="3"/>
      <c r="E180" s="3"/>
      <c r="F180" s="3"/>
      <c r="G180" s="3"/>
      <c r="M180" s="3"/>
    </row>
    <row r="181" spans="2:13">
      <c r="B181" s="3"/>
      <c r="C181" s="3"/>
      <c r="D181" s="3"/>
      <c r="E181" s="3"/>
      <c r="F181" s="3"/>
      <c r="G181" s="3"/>
      <c r="M181" s="3"/>
    </row>
    <row r="182" spans="2:13">
      <c r="B182" s="3"/>
      <c r="C182" s="3"/>
      <c r="D182" s="3"/>
      <c r="E182" s="3"/>
      <c r="F182" s="3"/>
      <c r="G182" s="3"/>
      <c r="M182" s="3"/>
    </row>
    <row r="183" spans="2:13">
      <c r="B183" s="3"/>
      <c r="C183" s="3"/>
      <c r="D183" s="3"/>
      <c r="E183" s="3"/>
      <c r="F183" s="3"/>
      <c r="G183" s="3"/>
      <c r="M183" s="3"/>
    </row>
    <row r="184" spans="2:13">
      <c r="B184" s="3"/>
      <c r="C184" s="3"/>
      <c r="D184" s="3"/>
      <c r="E184" s="3"/>
      <c r="F184" s="3"/>
      <c r="G184" s="3"/>
      <c r="M184" s="3"/>
    </row>
    <row r="185" spans="2:13">
      <c r="B185" s="3"/>
      <c r="C185" s="3"/>
      <c r="D185" s="3"/>
      <c r="E185" s="3"/>
      <c r="F185" s="3"/>
      <c r="G185" s="3"/>
      <c r="M185" s="3"/>
    </row>
    <row r="186" spans="2:13">
      <c r="B186" s="3"/>
      <c r="C186" s="3"/>
      <c r="D186" s="3"/>
      <c r="E186" s="3"/>
      <c r="F186" s="3"/>
      <c r="G186" s="3"/>
      <c r="M186" s="3"/>
    </row>
    <row r="187" spans="2:13">
      <c r="B187" s="3"/>
      <c r="C187" s="3"/>
      <c r="D187" s="3"/>
      <c r="E187" s="3"/>
      <c r="F187" s="3"/>
      <c r="G187" s="3"/>
      <c r="M187" s="3"/>
    </row>
    <row r="188" spans="2:13">
      <c r="B188" s="3"/>
      <c r="C188" s="3"/>
      <c r="D188" s="3"/>
      <c r="E188" s="3"/>
      <c r="F188" s="3"/>
      <c r="G188" s="3"/>
      <c r="M188" s="3"/>
    </row>
    <row r="189" spans="2:13">
      <c r="B189" s="3"/>
      <c r="C189" s="3"/>
      <c r="D189" s="3"/>
      <c r="E189" s="3"/>
      <c r="F189" s="3"/>
      <c r="G189" s="3"/>
      <c r="M189" s="3"/>
    </row>
    <row r="190" spans="2:13">
      <c r="B190" s="3"/>
      <c r="C190" s="3"/>
      <c r="D190" s="3"/>
      <c r="E190" s="3"/>
      <c r="F190" s="3"/>
      <c r="G190" s="3"/>
      <c r="M190" s="3"/>
    </row>
    <row r="191" spans="2:13">
      <c r="B191" s="3"/>
      <c r="C191" s="3"/>
      <c r="D191" s="3"/>
      <c r="E191" s="3"/>
      <c r="F191" s="3"/>
      <c r="G191" s="3"/>
      <c r="M191" s="3"/>
    </row>
    <row r="192" spans="2:13">
      <c r="B192" s="3"/>
      <c r="C192" s="3"/>
      <c r="D192" s="3"/>
      <c r="E192" s="3"/>
      <c r="F192" s="3"/>
      <c r="G192" s="3"/>
      <c r="M192" s="3"/>
    </row>
    <row r="193" spans="2:13">
      <c r="B193" s="3"/>
      <c r="C193" s="3"/>
      <c r="D193" s="3"/>
      <c r="E193" s="3"/>
      <c r="F193" s="3"/>
      <c r="G193" s="3"/>
      <c r="M193" s="3"/>
    </row>
    <row r="194" spans="2:13">
      <c r="B194" s="3"/>
      <c r="C194" s="3"/>
      <c r="D194" s="3"/>
      <c r="E194" s="3"/>
      <c r="F194" s="3"/>
      <c r="G194" s="3"/>
      <c r="M194" s="3"/>
    </row>
    <row r="195" spans="2:13">
      <c r="B195" s="3"/>
      <c r="C195" s="3"/>
      <c r="D195" s="3"/>
      <c r="E195" s="3"/>
      <c r="F195" s="3"/>
      <c r="G195" s="3"/>
      <c r="M195" s="3"/>
    </row>
    <row r="196" spans="2:13">
      <c r="B196" s="3"/>
      <c r="C196" s="3"/>
      <c r="D196" s="3"/>
      <c r="E196" s="3"/>
      <c r="F196" s="3"/>
      <c r="G196" s="3"/>
      <c r="M196" s="3"/>
    </row>
    <row r="197" spans="2:13">
      <c r="B197" s="3"/>
      <c r="C197" s="3"/>
      <c r="D197" s="3"/>
      <c r="E197" s="3"/>
      <c r="F197" s="3"/>
      <c r="G197" s="3"/>
      <c r="M197" s="3"/>
    </row>
    <row r="198" spans="2:13">
      <c r="B198" s="3"/>
      <c r="C198" s="3"/>
      <c r="D198" s="3"/>
      <c r="E198" s="3"/>
      <c r="F198" s="3"/>
      <c r="G198" s="3"/>
      <c r="M198" s="3"/>
    </row>
    <row r="199" spans="2:13">
      <c r="B199" s="3"/>
      <c r="C199" s="3"/>
      <c r="D199" s="3"/>
      <c r="E199" s="3"/>
      <c r="F199" s="3"/>
      <c r="G199" s="3"/>
      <c r="M199" s="3"/>
    </row>
    <row r="200" spans="2:13">
      <c r="B200" s="3"/>
      <c r="C200" s="3"/>
      <c r="D200" s="3"/>
      <c r="E200" s="3"/>
      <c r="F200" s="3"/>
      <c r="G200" s="3"/>
      <c r="M200" s="3"/>
    </row>
    <row r="201" spans="2:13">
      <c r="B201" s="3"/>
      <c r="C201" s="3"/>
      <c r="D201" s="3"/>
      <c r="E201" s="3"/>
      <c r="F201" s="3"/>
      <c r="G201" s="3"/>
      <c r="M201" s="3"/>
    </row>
    <row r="202" spans="2:13">
      <c r="B202" s="3"/>
      <c r="C202" s="3"/>
      <c r="D202" s="3"/>
      <c r="E202" s="3"/>
      <c r="F202" s="3"/>
      <c r="G202" s="3"/>
      <c r="M202" s="3"/>
    </row>
    <row r="203" spans="2:13">
      <c r="B203" s="3"/>
      <c r="C203" s="3"/>
      <c r="D203" s="3"/>
      <c r="E203" s="3"/>
      <c r="F203" s="3"/>
      <c r="G203" s="3"/>
      <c r="M203" s="3"/>
    </row>
    <row r="204" spans="2:13">
      <c r="B204" s="3"/>
      <c r="C204" s="3"/>
      <c r="D204" s="3"/>
      <c r="E204" s="3"/>
      <c r="F204" s="3"/>
      <c r="G204" s="3"/>
      <c r="M204" s="3"/>
    </row>
    <row r="205" spans="2:13">
      <c r="B205" s="3"/>
      <c r="C205" s="3"/>
      <c r="D205" s="3"/>
      <c r="E205" s="3"/>
      <c r="F205" s="3"/>
      <c r="G205" s="3"/>
      <c r="M205" s="3"/>
    </row>
    <row r="206" spans="2:13">
      <c r="B206" s="3"/>
      <c r="C206" s="3"/>
      <c r="D206" s="3"/>
      <c r="E206" s="3"/>
      <c r="F206" s="3"/>
      <c r="G206" s="3"/>
      <c r="M206" s="3"/>
    </row>
    <row r="207" spans="2:13">
      <c r="B207" s="3"/>
      <c r="C207" s="3"/>
      <c r="D207" s="3"/>
      <c r="E207" s="3"/>
      <c r="F207" s="3"/>
      <c r="G207" s="3"/>
      <c r="M207" s="3"/>
    </row>
    <row r="208" spans="2:13">
      <c r="B208" s="3"/>
      <c r="C208" s="3"/>
      <c r="D208" s="3"/>
      <c r="E208" s="3"/>
      <c r="F208" s="3"/>
      <c r="G208" s="3"/>
      <c r="M208" s="3"/>
    </row>
  </sheetData>
  <mergeCells count="3">
    <mergeCell ref="C2:H2"/>
    <mergeCell ref="I15:J15"/>
    <mergeCell ref="I20:J20"/>
  </mergeCells>
  <phoneticPr fontId="18" type="noConversion"/>
  <dataValidations count="3">
    <dataValidation type="list" showInputMessage="1" showErrorMessage="1" sqref="D3" xr:uid="{00000000-0002-0000-0000-000000000000}">
      <formula1>"深圳,北京,广州,"</formula1>
    </dataValidation>
    <dataValidation type="list" showInputMessage="1" showErrorMessage="1" sqref="F3" xr:uid="{00000000-0002-0000-0000-000001000000}">
      <formula1>"印尼雅加达,泰国曼谷,新加坡,马来西亚吉隆坡,日本东京,韩国首尔,英国伦敦,法国巴黎,德国慕尼黑,德国法兰克福,美国洛杉矶,美国旧金山,阿联酋迪拜,沙特阿拉伯,中国香港,"</formula1>
    </dataValidation>
    <dataValidation type="list" allowBlank="1" showInputMessage="1" showErrorMessage="1" sqref="D7" xr:uid="{80425370-BA2D-8B46-B42D-2C5FB35F76D1}">
      <formula1>"5,6,7,8,9,10,11,12,13,14,L1-1,L1-2,L2-1,L2-2"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DC05-C1CB-C44B-9DD3-5CC2184C0D2B}">
  <dimension ref="A1:T209"/>
  <sheetViews>
    <sheetView workbookViewId="0">
      <selection activeCell="C7" sqref="C7"/>
    </sheetView>
  </sheetViews>
  <sheetFormatPr baseColWidth="10" defaultRowHeight="13"/>
  <cols>
    <col min="1" max="1" width="23.59765625" customWidth="1"/>
    <col min="2" max="2" width="28" customWidth="1"/>
    <col min="3" max="3" width="13.796875" customWidth="1"/>
    <col min="4" max="4" width="28" customWidth="1"/>
    <col min="5" max="5" width="13.796875" customWidth="1"/>
    <col min="6" max="6" width="19.796875" customWidth="1"/>
    <col min="7" max="7" width="13.796875" customWidth="1"/>
    <col min="8" max="8" width="31.3984375" customWidth="1"/>
    <col min="9" max="9" width="3.796875" customWidth="1"/>
    <col min="10" max="10" width="13.796875" customWidth="1"/>
    <col min="11" max="11" width="20.796875" customWidth="1"/>
    <col min="12" max="12" width="13.796875" customWidth="1"/>
    <col min="13" max="13" width="17.796875" customWidth="1"/>
    <col min="14" max="20" width="13.796875" customWidth="1"/>
  </cols>
  <sheetData>
    <row r="1" spans="1:16" ht="22">
      <c r="A1" s="3"/>
      <c r="B1" s="3"/>
      <c r="C1" s="3"/>
      <c r="D1" s="3"/>
      <c r="E1" s="3"/>
      <c r="F1" s="3"/>
      <c r="G1" s="3"/>
      <c r="J1" s="4" t="s">
        <v>0</v>
      </c>
      <c r="P1" s="5" t="s">
        <v>1</v>
      </c>
    </row>
    <row r="2" spans="1:16" ht="39.75" customHeight="1" thickBot="1">
      <c r="A2" s="8" t="s">
        <v>151</v>
      </c>
      <c r="B2" t="s">
        <v>152</v>
      </c>
      <c r="C2" s="3"/>
      <c r="D2" s="3"/>
      <c r="E2" s="7"/>
      <c r="F2" s="3"/>
      <c r="G2" s="3"/>
      <c r="J2" t="s">
        <v>129</v>
      </c>
      <c r="P2" s="5" t="s">
        <v>2</v>
      </c>
    </row>
    <row r="3" spans="1:16" ht="16">
      <c r="A3" s="78" t="s">
        <v>3</v>
      </c>
      <c r="B3" s="79" t="s">
        <v>8</v>
      </c>
      <c r="C3" s="80" t="s">
        <v>7</v>
      </c>
      <c r="D3" s="79"/>
      <c r="E3" s="79"/>
      <c r="F3" s="81"/>
      <c r="G3" s="82"/>
      <c r="H3" s="44" t="s">
        <v>138</v>
      </c>
      <c r="J3" s="14" t="s">
        <v>10</v>
      </c>
      <c r="P3" s="5" t="s">
        <v>11</v>
      </c>
    </row>
    <row r="4" spans="1:16" ht="16">
      <c r="A4" s="83"/>
      <c r="B4" s="84" t="s">
        <v>12</v>
      </c>
      <c r="C4" s="85">
        <v>12</v>
      </c>
      <c r="D4" s="84" t="s">
        <v>13</v>
      </c>
      <c r="E4" s="84"/>
      <c r="F4" s="84"/>
      <c r="G4" s="86"/>
      <c r="H4" s="44" t="s">
        <v>139</v>
      </c>
      <c r="J4" s="14" t="s">
        <v>14</v>
      </c>
      <c r="P4" s="5" t="s">
        <v>15</v>
      </c>
    </row>
    <row r="5" spans="1:16" ht="16">
      <c r="A5" s="83"/>
      <c r="B5" s="84" t="s">
        <v>18</v>
      </c>
      <c r="C5" s="87" t="s">
        <v>92</v>
      </c>
      <c r="D5" s="84" t="s">
        <v>20</v>
      </c>
      <c r="E5" s="84"/>
      <c r="F5" s="84"/>
      <c r="G5" s="88"/>
      <c r="H5" s="44" t="s">
        <v>140</v>
      </c>
      <c r="J5" t="s">
        <v>130</v>
      </c>
    </row>
    <row r="6" spans="1:16">
      <c r="A6" s="83"/>
      <c r="B6" s="84" t="s">
        <v>150</v>
      </c>
      <c r="C6" s="107">
        <v>800000</v>
      </c>
      <c r="D6" s="84" t="s">
        <v>148</v>
      </c>
      <c r="E6" s="84"/>
      <c r="F6" s="84"/>
      <c r="G6" s="88"/>
      <c r="H6" s="44"/>
    </row>
    <row r="7" spans="1:16">
      <c r="A7" s="83"/>
      <c r="B7" s="84" t="s">
        <v>23</v>
      </c>
      <c r="C7" s="89">
        <v>11</v>
      </c>
      <c r="D7" s="84" t="s">
        <v>24</v>
      </c>
      <c r="E7" s="84"/>
      <c r="F7" s="84"/>
      <c r="G7" s="88"/>
      <c r="H7" s="44" t="s">
        <v>141</v>
      </c>
      <c r="J7" s="18" t="s">
        <v>25</v>
      </c>
    </row>
    <row r="8" spans="1:16" ht="29" thickBot="1">
      <c r="A8" s="90"/>
      <c r="B8" s="91" t="s">
        <v>26</v>
      </c>
      <c r="C8" s="92" t="str" cm="1">
        <f t="array" ref="C8">_xlfn.IFS(C7&lt;12,"一档",C7=H4,"一档",C7=H5,"一档",C7=H7,"二档",C7=H8,"二档",C7&gt;11,"二档")</f>
        <v>一档</v>
      </c>
      <c r="D8" s="91" t="s">
        <v>28</v>
      </c>
      <c r="E8" s="91"/>
      <c r="F8" s="91"/>
      <c r="G8" s="93"/>
      <c r="H8" s="44" t="s">
        <v>142</v>
      </c>
      <c r="J8" s="22" t="s">
        <v>29</v>
      </c>
      <c r="K8" s="22" t="s">
        <v>30</v>
      </c>
      <c r="L8" s="23" t="s">
        <v>31</v>
      </c>
      <c r="M8" s="23" t="s">
        <v>32</v>
      </c>
      <c r="N8" s="22" t="s">
        <v>33</v>
      </c>
      <c r="O8" s="24" t="s">
        <v>34</v>
      </c>
    </row>
    <row r="9" spans="1:16" ht="15">
      <c r="A9" s="3"/>
      <c r="B9" s="3"/>
      <c r="C9" s="3"/>
      <c r="D9" s="3"/>
      <c r="E9" s="3"/>
      <c r="F9" s="3"/>
      <c r="G9" s="3"/>
      <c r="J9" s="27" t="s">
        <v>36</v>
      </c>
      <c r="K9" s="27" t="s">
        <v>37</v>
      </c>
      <c r="L9" s="28">
        <v>10000</v>
      </c>
      <c r="M9" s="29">
        <v>13600</v>
      </c>
      <c r="N9" s="30" t="s">
        <v>38</v>
      </c>
      <c r="O9" s="31">
        <v>1.9400999999999999</v>
      </c>
    </row>
    <row r="10" spans="1:16" ht="16" thickBot="1">
      <c r="A10" s="3"/>
      <c r="B10" s="3"/>
      <c r="C10" s="3"/>
      <c r="D10" s="3"/>
      <c r="E10" s="3"/>
      <c r="F10" s="3"/>
      <c r="G10" s="3"/>
      <c r="J10" s="27" t="s">
        <v>39</v>
      </c>
      <c r="K10" s="27" t="s">
        <v>40</v>
      </c>
      <c r="L10" s="32">
        <v>5600</v>
      </c>
      <c r="M10" s="33">
        <v>7200</v>
      </c>
      <c r="N10" s="30" t="s">
        <v>41</v>
      </c>
      <c r="O10" s="31">
        <v>1.3144</v>
      </c>
    </row>
    <row r="11" spans="1:16" ht="15">
      <c r="A11" s="78" t="s">
        <v>42</v>
      </c>
      <c r="B11" s="79" t="s">
        <v>146</v>
      </c>
      <c r="C11" s="95" cm="1">
        <f t="array" ref="C11">_xlfn.SINGLE(_xlfn._xlws.FILTER($F$17:$F$88,($A$17:$A$88=$C$3)*($B$17:$B$88=$C$5)*($C$17:$C$88=$C$8)))</f>
        <v>13482</v>
      </c>
      <c r="D11" s="79" t="s">
        <v>46</v>
      </c>
      <c r="E11" s="95" cm="1">
        <f t="array" ref="E11">_xlfn.SINGLE(_xlfn._xlws.FILTER(D17:D88,($A$17:$A$88=$C$3)*($B$17:$B$88=$C$5)*($C$17:$C$88=$C$8)))</f>
        <v>6760</v>
      </c>
      <c r="F11" s="79" t="s">
        <v>47</v>
      </c>
      <c r="G11" s="96" cm="1">
        <f t="array" ref="G11">_xlfn.SINGLE(_xlfn._xlws.FILTER(E17:E88,($A$17:$A$88=$C$3)*($B$17:$B$88=$C$5)*($C$17:$C$88=$C$8)))</f>
        <v>8540</v>
      </c>
      <c r="H11" s="76"/>
      <c r="J11" s="27" t="s">
        <v>48</v>
      </c>
      <c r="K11" s="27" t="s">
        <v>49</v>
      </c>
      <c r="L11" s="32">
        <v>1500</v>
      </c>
      <c r="M11" s="33">
        <v>2300</v>
      </c>
      <c r="N11" s="30" t="s">
        <v>50</v>
      </c>
      <c r="O11" s="31">
        <v>8.3750999999999998</v>
      </c>
    </row>
    <row r="12" spans="1:16" ht="15">
      <c r="A12" s="83"/>
      <c r="B12" s="97" t="s">
        <v>51</v>
      </c>
      <c r="C12" s="98">
        <f>(C11+E11+G11)*C4</f>
        <v>345384</v>
      </c>
      <c r="D12" s="84"/>
      <c r="E12" s="99"/>
      <c r="F12" s="100" t="s">
        <v>147</v>
      </c>
      <c r="G12" s="101">
        <v>60000</v>
      </c>
      <c r="H12" s="77"/>
      <c r="J12" s="27" t="s">
        <v>52</v>
      </c>
      <c r="K12" s="27" t="s">
        <v>53</v>
      </c>
      <c r="L12" s="32">
        <v>2000</v>
      </c>
      <c r="M12" s="33">
        <v>3100</v>
      </c>
      <c r="N12" s="30" t="s">
        <v>50</v>
      </c>
      <c r="O12" s="31">
        <v>8.3750999999999998</v>
      </c>
    </row>
    <row r="13" spans="1:16" ht="28">
      <c r="A13" s="83"/>
      <c r="B13" s="102" t="s">
        <v>145</v>
      </c>
      <c r="C13" s="99">
        <f>(C6+C12)*0.15</f>
        <v>171807.6</v>
      </c>
      <c r="D13" s="84"/>
      <c r="E13" s="84"/>
      <c r="F13" s="100"/>
      <c r="G13" s="103"/>
      <c r="J13" s="27" t="s">
        <v>54</v>
      </c>
      <c r="K13" s="27" t="s">
        <v>55</v>
      </c>
      <c r="L13" s="32">
        <v>1750000</v>
      </c>
      <c r="M13" s="33">
        <v>4000000</v>
      </c>
      <c r="N13" s="30" t="s">
        <v>56</v>
      </c>
      <c r="O13" s="31">
        <v>5.1000000000000004E-3</v>
      </c>
      <c r="P13" s="41"/>
    </row>
    <row r="14" spans="1:16" ht="17" thickBot="1">
      <c r="A14" s="90"/>
      <c r="B14" s="104" t="s">
        <v>149</v>
      </c>
      <c r="C14" s="105">
        <f>(C12+C13+G12)*(C4/12)</f>
        <v>577191.6</v>
      </c>
      <c r="D14" s="91"/>
      <c r="E14" s="91"/>
      <c r="F14" s="91"/>
      <c r="G14" s="106"/>
      <c r="J14" s="27" t="s">
        <v>57</v>
      </c>
      <c r="K14" s="42" t="s">
        <v>58</v>
      </c>
      <c r="L14" s="32">
        <v>2700</v>
      </c>
      <c r="M14" s="33">
        <v>3800</v>
      </c>
      <c r="N14" s="30" t="s">
        <v>59</v>
      </c>
      <c r="O14" s="31">
        <v>5.1609999999999996</v>
      </c>
      <c r="P14" s="41"/>
    </row>
    <row r="15" spans="1:16" ht="53" customHeight="1">
      <c r="A15" s="3"/>
      <c r="B15" s="94" t="s">
        <v>144</v>
      </c>
      <c r="C15" s="94"/>
      <c r="D15" s="94"/>
      <c r="E15" s="94"/>
      <c r="F15" s="94"/>
      <c r="G15" s="94"/>
      <c r="J15" s="27" t="s">
        <v>61</v>
      </c>
      <c r="K15" s="27" t="s">
        <v>62</v>
      </c>
      <c r="L15" s="32">
        <v>2100</v>
      </c>
      <c r="M15" s="33">
        <v>3500</v>
      </c>
      <c r="N15" s="30" t="s">
        <v>63</v>
      </c>
      <c r="O15" s="31">
        <v>1.6920999999999999</v>
      </c>
    </row>
    <row r="16" spans="1:16" ht="15">
      <c r="A16" s="8" t="s">
        <v>66</v>
      </c>
      <c r="B16" t="s">
        <v>67</v>
      </c>
      <c r="C16" s="3"/>
      <c r="D16" s="3"/>
      <c r="E16" s="3"/>
      <c r="F16" s="3"/>
      <c r="G16" s="3"/>
      <c r="J16" s="27" t="s">
        <v>68</v>
      </c>
      <c r="K16" s="27" t="s">
        <v>69</v>
      </c>
      <c r="L16" s="32">
        <v>5800</v>
      </c>
      <c r="M16" s="33">
        <v>8100</v>
      </c>
      <c r="N16" s="30" t="s">
        <v>70</v>
      </c>
      <c r="O16" s="31">
        <v>7.2389000000000001</v>
      </c>
    </row>
    <row r="17" spans="1:20" ht="16">
      <c r="A17" s="7" t="s">
        <v>8</v>
      </c>
      <c r="B17" s="7" t="s">
        <v>18</v>
      </c>
      <c r="C17" s="7" t="s">
        <v>72</v>
      </c>
      <c r="D17" s="7" t="s">
        <v>73</v>
      </c>
      <c r="E17" s="7" t="s">
        <v>74</v>
      </c>
      <c r="F17" s="7" t="s">
        <v>75</v>
      </c>
      <c r="G17" s="3"/>
      <c r="J17" s="27" t="s">
        <v>68</v>
      </c>
      <c r="K17" s="42" t="s">
        <v>76</v>
      </c>
      <c r="L17" s="32">
        <v>4100</v>
      </c>
      <c r="M17" s="33">
        <v>5100</v>
      </c>
      <c r="N17" s="30" t="s">
        <v>70</v>
      </c>
      <c r="O17" s="31">
        <v>7.2389000000000001</v>
      </c>
    </row>
    <row r="18" spans="1:20" ht="15">
      <c r="A18" s="3" t="s">
        <v>77</v>
      </c>
      <c r="B18" s="3" t="s">
        <v>19</v>
      </c>
      <c r="C18" s="3" t="s">
        <v>27</v>
      </c>
      <c r="D18" s="46">
        <f>L45</f>
        <v>1300</v>
      </c>
      <c r="E18" s="46">
        <f>L31</f>
        <v>9700</v>
      </c>
      <c r="F18" s="46">
        <f>L22*O22</f>
        <v>4705.2849999999999</v>
      </c>
      <c r="G18" s="3"/>
      <c r="J18" s="27" t="s">
        <v>78</v>
      </c>
      <c r="K18" s="27" t="s">
        <v>79</v>
      </c>
      <c r="L18" s="32">
        <v>33000</v>
      </c>
      <c r="M18" s="33">
        <v>46000</v>
      </c>
      <c r="N18" s="30" t="s">
        <v>80</v>
      </c>
      <c r="O18" s="31"/>
    </row>
    <row r="19" spans="1:20" ht="15">
      <c r="A19" s="3" t="s">
        <v>77</v>
      </c>
      <c r="B19" s="3" t="s">
        <v>19</v>
      </c>
      <c r="C19" s="3" t="s">
        <v>71</v>
      </c>
      <c r="D19" s="46">
        <f>M45</f>
        <v>2000</v>
      </c>
      <c r="E19" s="46">
        <f>M31</f>
        <v>21300</v>
      </c>
      <c r="F19" s="46">
        <f>L22*O22</f>
        <v>4705.2849999999999</v>
      </c>
      <c r="G19" s="3"/>
      <c r="J19" s="27" t="s">
        <v>81</v>
      </c>
      <c r="K19" s="27" t="s">
        <v>82</v>
      </c>
      <c r="L19" s="32">
        <v>200000</v>
      </c>
      <c r="M19" s="33">
        <v>290000</v>
      </c>
      <c r="N19" s="30" t="s">
        <v>83</v>
      </c>
      <c r="O19" s="31">
        <v>4.8399999999999999E-2</v>
      </c>
      <c r="P19" s="41"/>
    </row>
    <row r="20" spans="1:20" ht="15">
      <c r="A20" s="3" t="s">
        <v>77</v>
      </c>
      <c r="B20" s="3" t="s">
        <v>85</v>
      </c>
      <c r="C20" s="3" t="s">
        <v>27</v>
      </c>
      <c r="D20" s="46">
        <f>L45+N45</f>
        <v>1690</v>
      </c>
      <c r="E20" s="46">
        <f>L31+O31</f>
        <v>12610</v>
      </c>
      <c r="F20" s="46">
        <f>L22*O22</f>
        <v>4705.2849999999999</v>
      </c>
      <c r="G20" s="3"/>
      <c r="J20" s="27" t="s">
        <v>86</v>
      </c>
      <c r="K20" s="27" t="s">
        <v>87</v>
      </c>
      <c r="L20" s="32">
        <v>39000</v>
      </c>
      <c r="M20" s="33">
        <v>60000</v>
      </c>
      <c r="N20" s="30" t="s">
        <v>88</v>
      </c>
      <c r="O20" s="31">
        <v>0.22470000000000001</v>
      </c>
    </row>
    <row r="21" spans="1:20" ht="15">
      <c r="A21" s="3" t="s">
        <v>77</v>
      </c>
      <c r="B21" s="3" t="s">
        <v>85</v>
      </c>
      <c r="C21" s="3" t="s">
        <v>71</v>
      </c>
      <c r="D21" s="46">
        <f>M45+O45</f>
        <v>2600</v>
      </c>
      <c r="E21" s="46">
        <f>M31+P31</f>
        <v>27690</v>
      </c>
      <c r="F21" s="46">
        <f>L22*O22</f>
        <v>4705.2849999999999</v>
      </c>
      <c r="G21" s="3"/>
      <c r="J21" s="27" t="s">
        <v>90</v>
      </c>
      <c r="K21" s="27" t="s">
        <v>90</v>
      </c>
      <c r="L21" s="32">
        <v>3500</v>
      </c>
      <c r="M21" s="33">
        <v>5000</v>
      </c>
      <c r="N21" s="30" t="s">
        <v>91</v>
      </c>
      <c r="O21" s="31">
        <v>5.5579000000000001</v>
      </c>
    </row>
    <row r="22" spans="1:20" ht="15">
      <c r="A22" s="3" t="s">
        <v>77</v>
      </c>
      <c r="B22" s="3" t="s">
        <v>92</v>
      </c>
      <c r="C22" s="3" t="s">
        <v>27</v>
      </c>
      <c r="D22" s="46">
        <f>L45+P45</f>
        <v>1820</v>
      </c>
      <c r="E22" s="46">
        <f>L31+R31</f>
        <v>13580</v>
      </c>
      <c r="F22" s="46">
        <f>M22*O22</f>
        <v>7962.79</v>
      </c>
      <c r="G22" s="3"/>
      <c r="J22" s="27" t="s">
        <v>93</v>
      </c>
      <c r="K22" s="27" t="s">
        <v>94</v>
      </c>
      <c r="L22" s="32">
        <v>650</v>
      </c>
      <c r="M22" s="33">
        <v>1100</v>
      </c>
      <c r="N22" s="30" t="s">
        <v>70</v>
      </c>
      <c r="O22" s="31">
        <v>7.2389000000000001</v>
      </c>
    </row>
    <row r="23" spans="1:20" ht="15">
      <c r="A23" s="3" t="s">
        <v>77</v>
      </c>
      <c r="B23" s="3" t="s">
        <v>92</v>
      </c>
      <c r="C23" s="3" t="s">
        <v>71</v>
      </c>
      <c r="D23" s="46">
        <f>M45+Q45</f>
        <v>2800</v>
      </c>
      <c r="E23" s="46">
        <f>M31+S31</f>
        <v>29820</v>
      </c>
      <c r="F23" s="46">
        <f>M22*O22</f>
        <v>7962.79</v>
      </c>
      <c r="G23" s="3"/>
      <c r="J23" s="47" t="s">
        <v>95</v>
      </c>
      <c r="K23" s="47" t="s">
        <v>96</v>
      </c>
      <c r="L23" s="32">
        <v>2600</v>
      </c>
      <c r="M23" s="33">
        <v>3500</v>
      </c>
      <c r="N23" s="30" t="s">
        <v>97</v>
      </c>
      <c r="O23" s="31">
        <v>9.6684000000000001</v>
      </c>
    </row>
    <row r="24" spans="1:20" ht="15">
      <c r="A24" s="3" t="s">
        <v>90</v>
      </c>
      <c r="B24" s="3" t="s">
        <v>19</v>
      </c>
      <c r="C24" s="3" t="s">
        <v>27</v>
      </c>
      <c r="D24" s="46">
        <f>L48</f>
        <v>9900</v>
      </c>
      <c r="E24" s="46">
        <v>0</v>
      </c>
      <c r="F24" s="46">
        <f>L21*O21</f>
        <v>19452.650000000001</v>
      </c>
      <c r="G24" s="3"/>
      <c r="J24" s="27" t="s">
        <v>98</v>
      </c>
      <c r="K24" s="27" t="s">
        <v>99</v>
      </c>
      <c r="L24" s="32">
        <v>19000</v>
      </c>
      <c r="M24" s="33">
        <v>28000</v>
      </c>
      <c r="N24" s="48" t="s">
        <v>100</v>
      </c>
      <c r="O24" s="31">
        <v>0.91801788399999995</v>
      </c>
    </row>
    <row r="25" spans="1:20">
      <c r="A25" s="3" t="s">
        <v>90</v>
      </c>
      <c r="B25" s="3" t="s">
        <v>19</v>
      </c>
      <c r="C25" s="3" t="s">
        <v>71</v>
      </c>
      <c r="D25" s="46">
        <f>M48</f>
        <v>15600</v>
      </c>
      <c r="E25" s="46">
        <v>0</v>
      </c>
      <c r="F25" s="46">
        <f>L21*O21</f>
        <v>19452.650000000001</v>
      </c>
      <c r="G25" s="3"/>
    </row>
    <row r="26" spans="1:20">
      <c r="A26" s="3" t="s">
        <v>90</v>
      </c>
      <c r="B26" s="3" t="s">
        <v>85</v>
      </c>
      <c r="C26" s="3" t="s">
        <v>27</v>
      </c>
      <c r="D26" s="46">
        <f>L48+N48</f>
        <v>12870</v>
      </c>
      <c r="E26" s="46">
        <v>0</v>
      </c>
      <c r="F26" s="46">
        <f>L21*O21</f>
        <v>19452.650000000001</v>
      </c>
      <c r="G26" s="3"/>
      <c r="J26" s="18" t="s">
        <v>101</v>
      </c>
    </row>
    <row r="27" spans="1:20">
      <c r="A27" s="3" t="s">
        <v>90</v>
      </c>
      <c r="B27" s="3" t="s">
        <v>85</v>
      </c>
      <c r="C27" s="3" t="s">
        <v>71</v>
      </c>
      <c r="D27" s="46">
        <f>M48+O48</f>
        <v>20280</v>
      </c>
      <c r="E27" s="46">
        <v>0</v>
      </c>
      <c r="F27" s="46">
        <f>L21*O21</f>
        <v>19452.650000000001</v>
      </c>
      <c r="G27" s="3"/>
      <c r="J27" s="62" t="s">
        <v>102</v>
      </c>
      <c r="K27" s="62" t="s">
        <v>103</v>
      </c>
      <c r="L27" s="64" t="s">
        <v>104</v>
      </c>
      <c r="M27" s="65"/>
      <c r="N27" s="65"/>
      <c r="O27" s="66" t="s">
        <v>105</v>
      </c>
      <c r="P27" s="63"/>
      <c r="Q27" s="63"/>
      <c r="R27" s="49"/>
      <c r="S27" s="49" t="s">
        <v>106</v>
      </c>
      <c r="T27" s="49"/>
    </row>
    <row r="28" spans="1:20">
      <c r="A28" s="3" t="s">
        <v>90</v>
      </c>
      <c r="B28" s="3" t="s">
        <v>92</v>
      </c>
      <c r="C28" s="3" t="s">
        <v>27</v>
      </c>
      <c r="D28" s="46">
        <f>L48+P48</f>
        <v>13860</v>
      </c>
      <c r="E28" s="46">
        <v>0</v>
      </c>
      <c r="F28" s="46">
        <f>M21*O21</f>
        <v>27789.5</v>
      </c>
      <c r="G28" s="3"/>
      <c r="J28" s="63"/>
      <c r="K28" s="63"/>
      <c r="L28" s="51" t="s">
        <v>27</v>
      </c>
      <c r="M28" s="52" t="s">
        <v>71</v>
      </c>
      <c r="N28" s="52" t="s">
        <v>108</v>
      </c>
      <c r="O28" s="52" t="s">
        <v>27</v>
      </c>
      <c r="P28" s="52" t="s">
        <v>71</v>
      </c>
      <c r="Q28" s="52" t="s">
        <v>108</v>
      </c>
      <c r="R28" s="52" t="s">
        <v>27</v>
      </c>
      <c r="S28" s="52" t="s">
        <v>71</v>
      </c>
      <c r="T28" s="52" t="s">
        <v>108</v>
      </c>
    </row>
    <row r="29" spans="1:20" ht="15">
      <c r="A29" s="3" t="s">
        <v>90</v>
      </c>
      <c r="B29" s="3" t="s">
        <v>92</v>
      </c>
      <c r="C29" s="3" t="s">
        <v>71</v>
      </c>
      <c r="D29" s="46">
        <f>M48+Q48</f>
        <v>21840</v>
      </c>
      <c r="E29" s="46">
        <v>0</v>
      </c>
      <c r="F29" s="46">
        <f>M21*O21</f>
        <v>27789.5</v>
      </c>
      <c r="G29" s="3"/>
      <c r="J29" s="53" t="s">
        <v>109</v>
      </c>
      <c r="K29" s="54" t="s">
        <v>110</v>
      </c>
      <c r="L29" s="55">
        <v>9700</v>
      </c>
      <c r="M29" s="56">
        <v>21300</v>
      </c>
      <c r="N29" s="56">
        <v>30500</v>
      </c>
      <c r="O29" s="50">
        <f t="shared" ref="O29:Q36" si="0">L29*0.3</f>
        <v>2910</v>
      </c>
      <c r="P29" s="50">
        <f t="shared" si="0"/>
        <v>6390</v>
      </c>
      <c r="Q29" s="50">
        <f t="shared" si="0"/>
        <v>9150</v>
      </c>
      <c r="R29" s="50">
        <f t="shared" ref="R29:T36" si="1">L29*0.4</f>
        <v>3880</v>
      </c>
      <c r="S29" s="50">
        <f t="shared" si="1"/>
        <v>8520</v>
      </c>
      <c r="T29" s="50">
        <f t="shared" si="1"/>
        <v>12200</v>
      </c>
    </row>
    <row r="30" spans="1:20" ht="15">
      <c r="A30" s="3" t="s">
        <v>112</v>
      </c>
      <c r="B30" s="3" t="s">
        <v>19</v>
      </c>
      <c r="C30" s="3" t="s">
        <v>27</v>
      </c>
      <c r="D30" s="46">
        <f>L47</f>
        <v>1100</v>
      </c>
      <c r="E30" s="46">
        <f>L30</f>
        <v>6100</v>
      </c>
      <c r="F30" s="46">
        <f>L15*O15</f>
        <v>3553.41</v>
      </c>
      <c r="G30" s="3"/>
      <c r="J30" s="57" t="s">
        <v>61</v>
      </c>
      <c r="K30" s="58" t="s">
        <v>62</v>
      </c>
      <c r="L30" s="55">
        <v>6100</v>
      </c>
      <c r="M30" s="56">
        <v>13300</v>
      </c>
      <c r="N30" s="56">
        <v>19100</v>
      </c>
      <c r="O30" s="50">
        <f t="shared" si="0"/>
        <v>1830</v>
      </c>
      <c r="P30" s="50">
        <f t="shared" si="0"/>
        <v>3990</v>
      </c>
      <c r="Q30" s="50">
        <f t="shared" si="0"/>
        <v>5730</v>
      </c>
      <c r="R30" s="50">
        <f t="shared" si="1"/>
        <v>2440</v>
      </c>
      <c r="S30" s="50">
        <f t="shared" si="1"/>
        <v>5320</v>
      </c>
      <c r="T30" s="50">
        <f t="shared" si="1"/>
        <v>7640</v>
      </c>
    </row>
    <row r="31" spans="1:20" ht="15">
      <c r="A31" s="3" t="s">
        <v>112</v>
      </c>
      <c r="B31" s="3" t="s">
        <v>19</v>
      </c>
      <c r="C31" s="3" t="s">
        <v>71</v>
      </c>
      <c r="D31" s="46">
        <f>M47</f>
        <v>1600</v>
      </c>
      <c r="E31" s="46">
        <f>M30</f>
        <v>13300</v>
      </c>
      <c r="F31" s="46">
        <f>L15*O15</f>
        <v>3553.41</v>
      </c>
      <c r="G31" s="3"/>
      <c r="J31" s="57" t="s">
        <v>93</v>
      </c>
      <c r="K31" s="58" t="s">
        <v>94</v>
      </c>
      <c r="L31" s="55">
        <v>9700</v>
      </c>
      <c r="M31" s="56">
        <v>21300</v>
      </c>
      <c r="N31" s="56">
        <v>30500</v>
      </c>
      <c r="O31" s="50">
        <f t="shared" si="0"/>
        <v>2910</v>
      </c>
      <c r="P31" s="50">
        <f t="shared" si="0"/>
        <v>6390</v>
      </c>
      <c r="Q31" s="50">
        <f t="shared" si="0"/>
        <v>9150</v>
      </c>
      <c r="R31" s="50">
        <f t="shared" si="1"/>
        <v>3880</v>
      </c>
      <c r="S31" s="50">
        <f t="shared" si="1"/>
        <v>8520</v>
      </c>
      <c r="T31" s="50">
        <f t="shared" si="1"/>
        <v>12200</v>
      </c>
    </row>
    <row r="32" spans="1:20" ht="15">
      <c r="A32" s="3" t="s">
        <v>112</v>
      </c>
      <c r="B32" s="3" t="s">
        <v>85</v>
      </c>
      <c r="C32" s="3" t="s">
        <v>27</v>
      </c>
      <c r="D32" s="46">
        <f>L47+N47</f>
        <v>1430</v>
      </c>
      <c r="E32" s="46">
        <f>L30+O30</f>
        <v>7930</v>
      </c>
      <c r="F32" s="46">
        <f>L15*O15</f>
        <v>3553.41</v>
      </c>
      <c r="G32" s="3"/>
      <c r="J32" s="57" t="s">
        <v>114</v>
      </c>
      <c r="K32" s="58" t="s">
        <v>115</v>
      </c>
      <c r="L32" s="55">
        <v>3200</v>
      </c>
      <c r="M32" s="56">
        <v>7100</v>
      </c>
      <c r="N32" s="56">
        <v>10200</v>
      </c>
      <c r="O32" s="50">
        <f t="shared" si="0"/>
        <v>960</v>
      </c>
      <c r="P32" s="50">
        <f t="shared" si="0"/>
        <v>2130</v>
      </c>
      <c r="Q32" s="50">
        <f t="shared" si="0"/>
        <v>3060</v>
      </c>
      <c r="R32" s="50">
        <f t="shared" si="1"/>
        <v>1280</v>
      </c>
      <c r="S32" s="50">
        <f t="shared" si="1"/>
        <v>2840</v>
      </c>
      <c r="T32" s="50">
        <f t="shared" si="1"/>
        <v>4080</v>
      </c>
    </row>
    <row r="33" spans="1:20" ht="15">
      <c r="A33" s="3" t="s">
        <v>112</v>
      </c>
      <c r="B33" s="3" t="s">
        <v>85</v>
      </c>
      <c r="C33" s="3" t="s">
        <v>71</v>
      </c>
      <c r="D33" s="46">
        <f>M47+O47</f>
        <v>2080</v>
      </c>
      <c r="E33" s="46">
        <f>M30+P30</f>
        <v>17290</v>
      </c>
      <c r="F33" s="46">
        <f>L15*O15</f>
        <v>3553.41</v>
      </c>
      <c r="G33" s="3"/>
      <c r="J33" s="57" t="s">
        <v>39</v>
      </c>
      <c r="K33" s="57" t="s">
        <v>40</v>
      </c>
      <c r="L33" s="55">
        <v>6100</v>
      </c>
      <c r="M33" s="56">
        <v>13300</v>
      </c>
      <c r="N33" s="56">
        <v>19100</v>
      </c>
      <c r="O33" s="50">
        <f t="shared" si="0"/>
        <v>1830</v>
      </c>
      <c r="P33" s="50">
        <f t="shared" si="0"/>
        <v>3990</v>
      </c>
      <c r="Q33" s="50">
        <f t="shared" si="0"/>
        <v>5730</v>
      </c>
      <c r="R33" s="50">
        <f t="shared" si="1"/>
        <v>2440</v>
      </c>
      <c r="S33" s="50">
        <f t="shared" si="1"/>
        <v>5320</v>
      </c>
      <c r="T33" s="50">
        <f t="shared" si="1"/>
        <v>7640</v>
      </c>
    </row>
    <row r="34" spans="1:20" ht="15">
      <c r="A34" s="3" t="s">
        <v>112</v>
      </c>
      <c r="B34" s="3" t="s">
        <v>92</v>
      </c>
      <c r="C34" s="3" t="s">
        <v>27</v>
      </c>
      <c r="D34" s="46">
        <f>L47+P47</f>
        <v>1540</v>
      </c>
      <c r="E34" s="46">
        <f>L30+R30</f>
        <v>8540</v>
      </c>
      <c r="F34" s="46">
        <f>M15*O15</f>
        <v>5922.3499999999995</v>
      </c>
      <c r="G34" s="3"/>
      <c r="J34" s="57" t="s">
        <v>86</v>
      </c>
      <c r="K34" s="57" t="s">
        <v>87</v>
      </c>
      <c r="L34" s="55">
        <v>6100</v>
      </c>
      <c r="M34" s="56">
        <v>13300</v>
      </c>
      <c r="N34" s="56">
        <v>19100</v>
      </c>
      <c r="O34" s="50">
        <f t="shared" si="0"/>
        <v>1830</v>
      </c>
      <c r="P34" s="50">
        <f t="shared" si="0"/>
        <v>3990</v>
      </c>
      <c r="Q34" s="50">
        <f t="shared" si="0"/>
        <v>5730</v>
      </c>
      <c r="R34" s="50">
        <f t="shared" si="1"/>
        <v>2440</v>
      </c>
      <c r="S34" s="50">
        <f t="shared" si="1"/>
        <v>5320</v>
      </c>
      <c r="T34" s="50">
        <f t="shared" si="1"/>
        <v>7640</v>
      </c>
    </row>
    <row r="35" spans="1:20" ht="15">
      <c r="A35" s="3" t="s">
        <v>112</v>
      </c>
      <c r="B35" s="3" t="s">
        <v>92</v>
      </c>
      <c r="C35" s="3" t="s">
        <v>71</v>
      </c>
      <c r="D35" s="46">
        <f>M47+Q47</f>
        <v>2240</v>
      </c>
      <c r="E35" s="46">
        <f>M30+S30</f>
        <v>18620</v>
      </c>
      <c r="F35" s="46">
        <f>M15*O15</f>
        <v>5922.3499999999995</v>
      </c>
      <c r="G35" s="3"/>
      <c r="J35" s="57" t="s">
        <v>36</v>
      </c>
      <c r="K35" s="57" t="s">
        <v>37</v>
      </c>
      <c r="L35" s="55">
        <v>3200</v>
      </c>
      <c r="M35" s="56">
        <v>7100</v>
      </c>
      <c r="N35" s="56">
        <v>10200</v>
      </c>
      <c r="O35" s="50">
        <f t="shared" si="0"/>
        <v>960</v>
      </c>
      <c r="P35" s="50">
        <f t="shared" si="0"/>
        <v>2130</v>
      </c>
      <c r="Q35" s="50">
        <f t="shared" si="0"/>
        <v>3060</v>
      </c>
      <c r="R35" s="50">
        <f t="shared" si="1"/>
        <v>1280</v>
      </c>
      <c r="S35" s="50">
        <f t="shared" si="1"/>
        <v>2840</v>
      </c>
      <c r="T35" s="50">
        <f t="shared" si="1"/>
        <v>4080</v>
      </c>
    </row>
    <row r="36" spans="1:20" ht="15">
      <c r="A36" s="3" t="s">
        <v>111</v>
      </c>
      <c r="B36" s="3" t="s">
        <v>19</v>
      </c>
      <c r="C36" s="3" t="s">
        <v>27</v>
      </c>
      <c r="D36" s="46">
        <f>L46</f>
        <v>6900</v>
      </c>
      <c r="E36" s="46">
        <v>0</v>
      </c>
      <c r="F36" s="46">
        <f>L19*O19</f>
        <v>9680</v>
      </c>
      <c r="G36" s="3"/>
      <c r="J36" s="57" t="s">
        <v>78</v>
      </c>
      <c r="K36" s="57" t="s">
        <v>78</v>
      </c>
      <c r="L36" s="55">
        <v>9700</v>
      </c>
      <c r="M36" s="56">
        <v>21300</v>
      </c>
      <c r="N36" s="56">
        <v>30500</v>
      </c>
      <c r="O36" s="50">
        <f t="shared" si="0"/>
        <v>2910</v>
      </c>
      <c r="P36" s="50">
        <f t="shared" si="0"/>
        <v>6390</v>
      </c>
      <c r="Q36" s="50">
        <f t="shared" si="0"/>
        <v>9150</v>
      </c>
      <c r="R36" s="50">
        <f t="shared" si="1"/>
        <v>3880</v>
      </c>
      <c r="S36" s="50">
        <f t="shared" si="1"/>
        <v>8520</v>
      </c>
      <c r="T36" s="50">
        <f t="shared" si="1"/>
        <v>12200</v>
      </c>
    </row>
    <row r="37" spans="1:20">
      <c r="A37" s="3" t="s">
        <v>111</v>
      </c>
      <c r="B37" s="3" t="s">
        <v>19</v>
      </c>
      <c r="C37" s="3" t="s">
        <v>71</v>
      </c>
      <c r="D37" s="46">
        <f>M46</f>
        <v>10800</v>
      </c>
      <c r="E37" s="46">
        <v>0</v>
      </c>
      <c r="F37" s="46">
        <f>L19*O19</f>
        <v>9680</v>
      </c>
      <c r="G37" s="3"/>
    </row>
    <row r="38" spans="1:20">
      <c r="A38" s="3" t="s">
        <v>111</v>
      </c>
      <c r="B38" s="3" t="s">
        <v>85</v>
      </c>
      <c r="C38" s="3" t="s">
        <v>27</v>
      </c>
      <c r="D38" s="46">
        <f>L46+O46</f>
        <v>10140</v>
      </c>
      <c r="E38" s="46">
        <v>0</v>
      </c>
      <c r="F38" s="46">
        <f>L19*O19</f>
        <v>9680</v>
      </c>
      <c r="G38" s="3"/>
      <c r="J38" s="18" t="s">
        <v>118</v>
      </c>
    </row>
    <row r="39" spans="1:20">
      <c r="A39" s="3" t="s">
        <v>111</v>
      </c>
      <c r="B39" s="3" t="s">
        <v>85</v>
      </c>
      <c r="C39" s="3" t="s">
        <v>71</v>
      </c>
      <c r="D39" s="46">
        <f>M46+O46</f>
        <v>14040</v>
      </c>
      <c r="E39" s="46">
        <v>0</v>
      </c>
      <c r="F39" s="46">
        <f>L19*O19</f>
        <v>9680</v>
      </c>
      <c r="G39" s="3"/>
      <c r="J39" s="67" t="s">
        <v>102</v>
      </c>
      <c r="K39" s="67" t="s">
        <v>103</v>
      </c>
      <c r="L39" s="67" t="s">
        <v>119</v>
      </c>
      <c r="M39" s="63"/>
      <c r="N39" s="63"/>
      <c r="O39" s="63"/>
      <c r="P39" s="63"/>
      <c r="Q39" s="63"/>
    </row>
    <row r="40" spans="1:20">
      <c r="A40" s="3" t="s">
        <v>111</v>
      </c>
      <c r="B40" s="3" t="s">
        <v>92</v>
      </c>
      <c r="C40" s="3" t="s">
        <v>27</v>
      </c>
      <c r="D40" s="46">
        <f>L46+P46</f>
        <v>9660</v>
      </c>
      <c r="E40" s="46">
        <v>0</v>
      </c>
      <c r="F40" s="46">
        <f>M19*O19</f>
        <v>14036</v>
      </c>
      <c r="G40" s="3"/>
      <c r="J40" s="63"/>
      <c r="K40" s="63"/>
      <c r="L40" s="67" t="s">
        <v>121</v>
      </c>
      <c r="M40" s="63"/>
      <c r="N40" s="67" t="s">
        <v>122</v>
      </c>
      <c r="O40" s="63"/>
      <c r="P40" s="67" t="s">
        <v>123</v>
      </c>
      <c r="Q40" s="63"/>
    </row>
    <row r="41" spans="1:20">
      <c r="A41" s="3" t="s">
        <v>111</v>
      </c>
      <c r="B41" s="3" t="s">
        <v>92</v>
      </c>
      <c r="C41" s="3" t="s">
        <v>71</v>
      </c>
      <c r="D41" s="46">
        <f>M46+Q46</f>
        <v>15120</v>
      </c>
      <c r="E41" s="46">
        <v>0</v>
      </c>
      <c r="F41" s="46">
        <f>M19*O19</f>
        <v>14036</v>
      </c>
      <c r="G41" s="3"/>
      <c r="J41" s="63"/>
      <c r="K41" s="63"/>
      <c r="L41" s="59" t="s">
        <v>27</v>
      </c>
      <c r="M41" s="59" t="s">
        <v>71</v>
      </c>
      <c r="N41" s="59" t="s">
        <v>27</v>
      </c>
      <c r="O41" s="59" t="s">
        <v>71</v>
      </c>
      <c r="P41" s="59" t="s">
        <v>27</v>
      </c>
      <c r="Q41" s="59" t="s">
        <v>71</v>
      </c>
      <c r="T41" s="44"/>
    </row>
    <row r="42" spans="1:20">
      <c r="A42" s="3" t="s">
        <v>117</v>
      </c>
      <c r="B42" s="3" t="s">
        <v>19</v>
      </c>
      <c r="C42" s="3" t="s">
        <v>27</v>
      </c>
      <c r="D42" s="46">
        <f>L49</f>
        <v>6700</v>
      </c>
      <c r="E42" s="46">
        <v>0</v>
      </c>
      <c r="F42" s="46">
        <f>L13*O13</f>
        <v>8925</v>
      </c>
      <c r="G42" s="3"/>
      <c r="J42" s="50" t="s">
        <v>98</v>
      </c>
      <c r="K42" s="50" t="s">
        <v>99</v>
      </c>
      <c r="L42" s="50">
        <v>11100</v>
      </c>
      <c r="M42" s="50">
        <v>17400</v>
      </c>
      <c r="N42" s="50">
        <v>3330</v>
      </c>
      <c r="O42" s="50">
        <v>5220</v>
      </c>
      <c r="P42" s="50">
        <v>4440</v>
      </c>
      <c r="Q42" s="50">
        <v>6960</v>
      </c>
    </row>
    <row r="43" spans="1:20">
      <c r="A43" s="3" t="s">
        <v>117</v>
      </c>
      <c r="B43" s="3" t="s">
        <v>19</v>
      </c>
      <c r="C43" s="3" t="s">
        <v>71</v>
      </c>
      <c r="D43" s="46">
        <f>M49</f>
        <v>10500</v>
      </c>
      <c r="E43" s="46">
        <v>0</v>
      </c>
      <c r="F43" s="46">
        <f>L13*O13</f>
        <v>8925</v>
      </c>
      <c r="G43" s="3"/>
      <c r="J43" s="50" t="s">
        <v>52</v>
      </c>
      <c r="K43" s="50" t="s">
        <v>53</v>
      </c>
      <c r="L43" s="50">
        <v>6800</v>
      </c>
      <c r="M43" s="50">
        <v>10600</v>
      </c>
      <c r="N43" s="50">
        <v>2040</v>
      </c>
      <c r="O43" s="50">
        <v>3180</v>
      </c>
      <c r="P43" s="50">
        <v>2720</v>
      </c>
      <c r="Q43" s="50">
        <v>4240</v>
      </c>
    </row>
    <row r="44" spans="1:20">
      <c r="A44" s="3" t="s">
        <v>117</v>
      </c>
      <c r="B44" s="3" t="s">
        <v>85</v>
      </c>
      <c r="C44" s="3" t="s">
        <v>27</v>
      </c>
      <c r="D44" s="46">
        <f>L49+N49</f>
        <v>8710</v>
      </c>
      <c r="E44" s="46">
        <v>0</v>
      </c>
      <c r="F44" s="46">
        <f>L13*O13</f>
        <v>8925</v>
      </c>
      <c r="G44" s="3"/>
      <c r="J44" s="50" t="s">
        <v>48</v>
      </c>
      <c r="K44" s="50" t="s">
        <v>49</v>
      </c>
      <c r="L44" s="50">
        <v>6200</v>
      </c>
      <c r="M44" s="50">
        <v>9700</v>
      </c>
      <c r="N44" s="50">
        <v>1860</v>
      </c>
      <c r="O44" s="50">
        <v>2910</v>
      </c>
      <c r="P44" s="50">
        <v>2480</v>
      </c>
      <c r="Q44" s="50">
        <v>3880</v>
      </c>
    </row>
    <row r="45" spans="1:20">
      <c r="A45" s="3" t="s">
        <v>117</v>
      </c>
      <c r="B45" s="3" t="s">
        <v>85</v>
      </c>
      <c r="C45" s="3" t="s">
        <v>71</v>
      </c>
      <c r="D45" s="46">
        <f>M49+O49</f>
        <v>13650</v>
      </c>
      <c r="E45" s="46">
        <v>0</v>
      </c>
      <c r="F45" s="46">
        <f>L13*O13</f>
        <v>8925</v>
      </c>
      <c r="G45" s="3"/>
      <c r="J45" s="50" t="s">
        <v>93</v>
      </c>
      <c r="K45" s="50" t="s">
        <v>94</v>
      </c>
      <c r="L45" s="50">
        <v>1300</v>
      </c>
      <c r="M45" s="50">
        <v>2000</v>
      </c>
      <c r="N45" s="50">
        <v>390</v>
      </c>
      <c r="O45" s="50">
        <v>600</v>
      </c>
      <c r="P45" s="50">
        <v>520</v>
      </c>
      <c r="Q45" s="50">
        <v>800</v>
      </c>
    </row>
    <row r="46" spans="1:20">
      <c r="A46" s="3" t="s">
        <v>117</v>
      </c>
      <c r="B46" s="3" t="s">
        <v>92</v>
      </c>
      <c r="C46" s="3" t="s">
        <v>27</v>
      </c>
      <c r="D46" s="46">
        <f>L49+P49</f>
        <v>9380</v>
      </c>
      <c r="E46" s="46">
        <v>0</v>
      </c>
      <c r="F46" s="46">
        <f>M13*O13</f>
        <v>20400</v>
      </c>
      <c r="G46" s="3"/>
      <c r="J46" s="50" t="s">
        <v>81</v>
      </c>
      <c r="K46" s="50" t="s">
        <v>82</v>
      </c>
      <c r="L46" s="50">
        <v>6900</v>
      </c>
      <c r="M46" s="50">
        <v>10800</v>
      </c>
      <c r="N46" s="50">
        <v>2070</v>
      </c>
      <c r="O46" s="50">
        <v>3240</v>
      </c>
      <c r="P46" s="50">
        <v>2760</v>
      </c>
      <c r="Q46" s="50">
        <v>4320</v>
      </c>
    </row>
    <row r="47" spans="1:20">
      <c r="A47" s="3" t="s">
        <v>117</v>
      </c>
      <c r="B47" s="3" t="s">
        <v>92</v>
      </c>
      <c r="C47" s="3" t="s">
        <v>71</v>
      </c>
      <c r="D47" s="46">
        <f>M49+Q49</f>
        <v>14700</v>
      </c>
      <c r="E47" s="46">
        <v>0</v>
      </c>
      <c r="F47" s="46">
        <f>M13*O13</f>
        <v>20400</v>
      </c>
      <c r="G47" s="3"/>
      <c r="J47" s="50" t="s">
        <v>61</v>
      </c>
      <c r="K47" s="50" t="s">
        <v>62</v>
      </c>
      <c r="L47" s="50">
        <v>1100</v>
      </c>
      <c r="M47" s="50">
        <v>1600</v>
      </c>
      <c r="N47" s="50">
        <v>330</v>
      </c>
      <c r="O47" s="50">
        <v>480</v>
      </c>
      <c r="P47" s="50">
        <v>440</v>
      </c>
      <c r="Q47" s="50">
        <v>640</v>
      </c>
    </row>
    <row r="48" spans="1:20">
      <c r="A48" s="3" t="s">
        <v>9</v>
      </c>
      <c r="B48" s="3" t="s">
        <v>19</v>
      </c>
      <c r="C48" s="3" t="s">
        <v>27</v>
      </c>
      <c r="D48" s="46">
        <f>L42</f>
        <v>11100</v>
      </c>
      <c r="E48" s="46">
        <v>0</v>
      </c>
      <c r="F48" s="46">
        <f>L24*O24</f>
        <v>17442.339796</v>
      </c>
      <c r="G48" s="3"/>
      <c r="J48" s="50" t="s">
        <v>90</v>
      </c>
      <c r="K48" s="50" t="s">
        <v>90</v>
      </c>
      <c r="L48" s="50">
        <v>9900</v>
      </c>
      <c r="M48" s="50">
        <v>15600</v>
      </c>
      <c r="N48" s="50">
        <v>2970</v>
      </c>
      <c r="O48" s="50">
        <v>4680</v>
      </c>
      <c r="P48" s="50">
        <v>3960</v>
      </c>
      <c r="Q48" s="50">
        <v>6240</v>
      </c>
    </row>
    <row r="49" spans="1:17">
      <c r="A49" s="3" t="s">
        <v>9</v>
      </c>
      <c r="B49" s="3" t="s">
        <v>19</v>
      </c>
      <c r="C49" s="3" t="s">
        <v>71</v>
      </c>
      <c r="D49" s="46">
        <f>M42</f>
        <v>17400</v>
      </c>
      <c r="E49" s="46">
        <v>0</v>
      </c>
      <c r="F49" s="46">
        <f>L24*O24</f>
        <v>17442.339796</v>
      </c>
      <c r="G49" s="3"/>
      <c r="J49" s="50" t="s">
        <v>54</v>
      </c>
      <c r="K49" s="50" t="s">
        <v>55</v>
      </c>
      <c r="L49" s="50">
        <v>6700</v>
      </c>
      <c r="M49" s="50">
        <v>10500</v>
      </c>
      <c r="N49" s="50">
        <v>2010</v>
      </c>
      <c r="O49" s="50">
        <v>3150</v>
      </c>
      <c r="P49" s="50">
        <v>2680</v>
      </c>
      <c r="Q49" s="50">
        <v>4200</v>
      </c>
    </row>
    <row r="50" spans="1:17">
      <c r="A50" s="3" t="s">
        <v>9</v>
      </c>
      <c r="B50" s="3" t="s">
        <v>85</v>
      </c>
      <c r="C50" s="3" t="s">
        <v>27</v>
      </c>
      <c r="D50" s="46">
        <f>L42+N42</f>
        <v>14430</v>
      </c>
      <c r="E50" s="46">
        <v>0</v>
      </c>
      <c r="F50" s="46">
        <f>L24*O24</f>
        <v>17442.339796</v>
      </c>
      <c r="G50" s="3"/>
      <c r="J50" s="50" t="s">
        <v>86</v>
      </c>
      <c r="K50" s="50" t="s">
        <v>87</v>
      </c>
      <c r="L50" s="50">
        <v>4600</v>
      </c>
      <c r="M50" s="50">
        <v>7200</v>
      </c>
      <c r="N50" s="50">
        <v>1380</v>
      </c>
      <c r="O50" s="50">
        <v>2160</v>
      </c>
      <c r="P50" s="50">
        <v>1840</v>
      </c>
      <c r="Q50" s="50">
        <v>2880</v>
      </c>
    </row>
    <row r="51" spans="1:17">
      <c r="A51" s="3" t="s">
        <v>9</v>
      </c>
      <c r="B51" s="3" t="s">
        <v>85</v>
      </c>
      <c r="C51" s="3" t="s">
        <v>71</v>
      </c>
      <c r="D51" s="46">
        <f>M42+O42</f>
        <v>22620</v>
      </c>
      <c r="E51" s="46">
        <v>0</v>
      </c>
      <c r="F51" s="46">
        <f>L24*O24</f>
        <v>17442.339796</v>
      </c>
      <c r="G51" s="3"/>
      <c r="J51" s="50" t="s">
        <v>36</v>
      </c>
      <c r="K51" s="50" t="s">
        <v>37</v>
      </c>
      <c r="L51" s="50">
        <v>9200</v>
      </c>
      <c r="M51" s="50">
        <v>14500</v>
      </c>
      <c r="N51" s="50">
        <v>2760</v>
      </c>
      <c r="O51" s="50">
        <v>4350</v>
      </c>
      <c r="P51" s="50">
        <v>3680</v>
      </c>
      <c r="Q51" s="50">
        <v>5800</v>
      </c>
    </row>
    <row r="52" spans="1:17">
      <c r="A52" s="3" t="s">
        <v>9</v>
      </c>
      <c r="B52" s="3" t="s">
        <v>92</v>
      </c>
      <c r="C52" s="3" t="s">
        <v>27</v>
      </c>
      <c r="D52" s="46">
        <f>L42+P42</f>
        <v>15540</v>
      </c>
      <c r="E52" s="46">
        <v>0</v>
      </c>
      <c r="F52" s="46">
        <f>M24*O24</f>
        <v>25704.500752</v>
      </c>
      <c r="G52" s="3"/>
      <c r="J52" s="50" t="s">
        <v>95</v>
      </c>
      <c r="K52" s="50" t="s">
        <v>96</v>
      </c>
      <c r="L52" s="50">
        <v>8100</v>
      </c>
      <c r="M52" s="50">
        <v>12700</v>
      </c>
      <c r="N52" s="50">
        <v>2430</v>
      </c>
      <c r="O52" s="50">
        <v>3810</v>
      </c>
      <c r="P52" s="50">
        <v>3240</v>
      </c>
      <c r="Q52" s="50">
        <v>5080</v>
      </c>
    </row>
    <row r="53" spans="1:17">
      <c r="A53" s="3" t="s">
        <v>9</v>
      </c>
      <c r="B53" s="3" t="s">
        <v>92</v>
      </c>
      <c r="C53" s="3" t="s">
        <v>71</v>
      </c>
      <c r="D53" s="46">
        <f>M42+Q42</f>
        <v>24360</v>
      </c>
      <c r="E53" s="46">
        <v>0</v>
      </c>
      <c r="F53" s="46">
        <f>M24*O24</f>
        <v>25704.500752</v>
      </c>
      <c r="G53" s="3"/>
      <c r="J53" s="50" t="s">
        <v>68</v>
      </c>
      <c r="K53" s="50" t="s">
        <v>127</v>
      </c>
      <c r="L53" s="50">
        <v>8100</v>
      </c>
      <c r="M53" s="50">
        <v>12700</v>
      </c>
      <c r="N53" s="50">
        <v>2430</v>
      </c>
      <c r="O53" s="50">
        <v>3810</v>
      </c>
      <c r="P53" s="50">
        <v>3240</v>
      </c>
      <c r="Q53" s="50">
        <v>5080</v>
      </c>
    </row>
    <row r="54" spans="1:17">
      <c r="A54" s="3" t="s">
        <v>7</v>
      </c>
      <c r="B54" s="3" t="s">
        <v>19</v>
      </c>
      <c r="C54" s="3" t="s">
        <v>27</v>
      </c>
      <c r="D54" s="46">
        <f>L50</f>
        <v>4600</v>
      </c>
      <c r="E54" s="46">
        <f>L34</f>
        <v>6100</v>
      </c>
      <c r="F54" s="46">
        <f>L20*O20</f>
        <v>8763.3000000000011</v>
      </c>
      <c r="G54" s="3"/>
      <c r="J54" s="50" t="s">
        <v>68</v>
      </c>
      <c r="K54" s="50" t="s">
        <v>69</v>
      </c>
      <c r="L54" s="50">
        <v>8000</v>
      </c>
      <c r="M54" s="50">
        <v>12600</v>
      </c>
      <c r="N54" s="50">
        <v>2400</v>
      </c>
      <c r="O54" s="50">
        <v>3780</v>
      </c>
      <c r="P54" s="50">
        <v>3200</v>
      </c>
      <c r="Q54" s="50">
        <v>5040</v>
      </c>
    </row>
    <row r="55" spans="1:17">
      <c r="A55" s="3" t="s">
        <v>7</v>
      </c>
      <c r="B55" s="3" t="s">
        <v>19</v>
      </c>
      <c r="C55" s="3" t="s">
        <v>71</v>
      </c>
      <c r="D55" s="46">
        <f>M50</f>
        <v>7200</v>
      </c>
      <c r="E55" s="46">
        <f>M34</f>
        <v>13300</v>
      </c>
      <c r="F55" s="46">
        <f>L20*O20</f>
        <v>8763.3000000000011</v>
      </c>
      <c r="G55" s="3"/>
    </row>
    <row r="56" spans="1:17">
      <c r="A56" s="3" t="s">
        <v>7</v>
      </c>
      <c r="B56" s="3" t="s">
        <v>85</v>
      </c>
      <c r="C56" s="3" t="s">
        <v>27</v>
      </c>
      <c r="D56" s="46">
        <f>L50+N50</f>
        <v>5980</v>
      </c>
      <c r="E56" s="46">
        <f>L34+O34</f>
        <v>7930</v>
      </c>
      <c r="F56" s="46">
        <f>L20*O20</f>
        <v>8763.3000000000011</v>
      </c>
      <c r="G56" s="3"/>
    </row>
    <row r="57" spans="1:17">
      <c r="A57" s="3" t="s">
        <v>7</v>
      </c>
      <c r="B57" s="3" t="s">
        <v>85</v>
      </c>
      <c r="C57" s="3" t="s">
        <v>71</v>
      </c>
      <c r="D57" s="46">
        <f>M50+O50</f>
        <v>9360</v>
      </c>
      <c r="E57" s="46">
        <f>M34+P34</f>
        <v>17290</v>
      </c>
      <c r="F57" s="46">
        <f>L20*O20</f>
        <v>8763.3000000000011</v>
      </c>
      <c r="G57" s="3"/>
    </row>
    <row r="58" spans="1:17">
      <c r="A58" s="3" t="s">
        <v>7</v>
      </c>
      <c r="B58" s="3" t="s">
        <v>92</v>
      </c>
      <c r="C58" s="3" t="s">
        <v>27</v>
      </c>
      <c r="D58" s="46">
        <f>L50+O50</f>
        <v>6760</v>
      </c>
      <c r="E58" s="46">
        <f>L34+R34</f>
        <v>8540</v>
      </c>
      <c r="F58" s="46">
        <f>M20*O20</f>
        <v>13482</v>
      </c>
      <c r="G58" s="3"/>
    </row>
    <row r="59" spans="1:17">
      <c r="A59" s="3" t="s">
        <v>7</v>
      </c>
      <c r="B59" s="3" t="s">
        <v>92</v>
      </c>
      <c r="C59" s="3" t="s">
        <v>71</v>
      </c>
      <c r="D59" s="46">
        <f>M50+Q50</f>
        <v>10080</v>
      </c>
      <c r="E59" s="46">
        <f>M34+S34</f>
        <v>18620</v>
      </c>
      <c r="F59" s="46">
        <f>M20*O20</f>
        <v>13482</v>
      </c>
      <c r="G59" s="3"/>
    </row>
    <row r="60" spans="1:17">
      <c r="A60" s="3" t="s">
        <v>113</v>
      </c>
      <c r="B60" s="3" t="s">
        <v>19</v>
      </c>
      <c r="C60" s="3" t="s">
        <v>27</v>
      </c>
      <c r="D60" s="46">
        <f>L53</f>
        <v>8100</v>
      </c>
      <c r="E60" s="46">
        <v>0</v>
      </c>
      <c r="F60" s="46">
        <f>L17*O17</f>
        <v>29679.49</v>
      </c>
      <c r="G60" s="3"/>
    </row>
    <row r="61" spans="1:17">
      <c r="A61" s="3" t="s">
        <v>113</v>
      </c>
      <c r="B61" s="3" t="s">
        <v>19</v>
      </c>
      <c r="C61" s="3" t="s">
        <v>71</v>
      </c>
      <c r="D61" s="46">
        <f>M53</f>
        <v>12700</v>
      </c>
      <c r="E61" s="46">
        <v>0</v>
      </c>
      <c r="F61" s="46">
        <f>L17*O17</f>
        <v>29679.49</v>
      </c>
      <c r="G61" s="3"/>
    </row>
    <row r="62" spans="1:17">
      <c r="A62" s="3" t="s">
        <v>113</v>
      </c>
      <c r="B62" s="3" t="s">
        <v>85</v>
      </c>
      <c r="C62" s="3" t="s">
        <v>27</v>
      </c>
      <c r="D62" s="46">
        <f>L53+N53</f>
        <v>10530</v>
      </c>
      <c r="E62" s="46">
        <v>0</v>
      </c>
      <c r="F62" s="46">
        <f>L17*O17</f>
        <v>29679.49</v>
      </c>
      <c r="G62" s="3"/>
    </row>
    <row r="63" spans="1:17">
      <c r="A63" s="3" t="s">
        <v>113</v>
      </c>
      <c r="B63" s="3" t="s">
        <v>85</v>
      </c>
      <c r="C63" s="3" t="s">
        <v>71</v>
      </c>
      <c r="D63" s="46">
        <f>M53+O53</f>
        <v>16510</v>
      </c>
      <c r="E63" s="46">
        <v>0</v>
      </c>
      <c r="F63" s="46">
        <f>L17*O17</f>
        <v>29679.49</v>
      </c>
      <c r="G63" s="3"/>
    </row>
    <row r="64" spans="1:17">
      <c r="A64" s="3" t="s">
        <v>113</v>
      </c>
      <c r="B64" s="3" t="s">
        <v>92</v>
      </c>
      <c r="C64" s="3" t="s">
        <v>27</v>
      </c>
      <c r="D64" s="46">
        <f>L53+P53</f>
        <v>11340</v>
      </c>
      <c r="E64" s="46">
        <v>0</v>
      </c>
      <c r="F64" s="46">
        <f>M17*O17</f>
        <v>36918.39</v>
      </c>
      <c r="G64" s="3"/>
    </row>
    <row r="65" spans="1:7">
      <c r="A65" s="3" t="s">
        <v>113</v>
      </c>
      <c r="B65" s="3" t="s">
        <v>92</v>
      </c>
      <c r="C65" s="3" t="s">
        <v>71</v>
      </c>
      <c r="D65" s="46">
        <f>M53+Q53</f>
        <v>17780</v>
      </c>
      <c r="E65" s="46">
        <v>0</v>
      </c>
      <c r="F65" s="46">
        <f>M17*O17</f>
        <v>36918.39</v>
      </c>
      <c r="G65" s="3"/>
    </row>
    <row r="66" spans="1:7">
      <c r="A66" s="3" t="s">
        <v>116</v>
      </c>
      <c r="B66" s="3" t="s">
        <v>19</v>
      </c>
      <c r="C66" s="3" t="s">
        <v>27</v>
      </c>
      <c r="D66" s="46">
        <f>L53</f>
        <v>8100</v>
      </c>
      <c r="E66" s="46">
        <v>0</v>
      </c>
      <c r="F66" s="46">
        <f>L17*O17</f>
        <v>29679.49</v>
      </c>
      <c r="G66" s="3"/>
    </row>
    <row r="67" spans="1:7">
      <c r="A67" s="3" t="s">
        <v>116</v>
      </c>
      <c r="B67" s="3" t="s">
        <v>19</v>
      </c>
      <c r="C67" s="3" t="s">
        <v>71</v>
      </c>
      <c r="D67" s="46">
        <f>M53</f>
        <v>12700</v>
      </c>
      <c r="E67" s="46">
        <v>0</v>
      </c>
      <c r="F67" s="46">
        <f>L17*O17</f>
        <v>29679.49</v>
      </c>
      <c r="G67" s="3"/>
    </row>
    <row r="68" spans="1:7">
      <c r="A68" s="3" t="s">
        <v>116</v>
      </c>
      <c r="B68" s="3" t="s">
        <v>85</v>
      </c>
      <c r="C68" s="3" t="s">
        <v>27</v>
      </c>
      <c r="D68" s="46">
        <f>L53+N53</f>
        <v>10530</v>
      </c>
      <c r="E68" s="46">
        <v>0</v>
      </c>
      <c r="F68" s="46">
        <f>L17*O17</f>
        <v>29679.49</v>
      </c>
      <c r="G68" s="3"/>
    </row>
    <row r="69" spans="1:7">
      <c r="A69" s="3" t="s">
        <v>116</v>
      </c>
      <c r="B69" s="3" t="s">
        <v>85</v>
      </c>
      <c r="C69" s="3" t="s">
        <v>71</v>
      </c>
      <c r="D69" s="46">
        <f>M53+O53</f>
        <v>16510</v>
      </c>
      <c r="E69" s="46">
        <v>0</v>
      </c>
      <c r="F69" s="46">
        <f>L17*O17</f>
        <v>29679.49</v>
      </c>
      <c r="G69" s="3"/>
    </row>
    <row r="70" spans="1:7">
      <c r="A70" s="3" t="s">
        <v>116</v>
      </c>
      <c r="B70" s="3" t="s">
        <v>92</v>
      </c>
      <c r="C70" s="3" t="s">
        <v>27</v>
      </c>
      <c r="D70" s="46">
        <f>L53+P53</f>
        <v>11340</v>
      </c>
      <c r="E70" s="46">
        <v>0</v>
      </c>
      <c r="F70" s="46">
        <f>M17*O17</f>
        <v>36918.39</v>
      </c>
      <c r="G70" s="3"/>
    </row>
    <row r="71" spans="1:7">
      <c r="A71" s="3" t="s">
        <v>116</v>
      </c>
      <c r="B71" s="3" t="s">
        <v>92</v>
      </c>
      <c r="C71" s="3" t="s">
        <v>71</v>
      </c>
      <c r="D71" s="46">
        <f>M53+Q53</f>
        <v>17780</v>
      </c>
      <c r="E71" s="46">
        <v>0</v>
      </c>
      <c r="F71" s="46">
        <f>M17*O17</f>
        <v>36918.39</v>
      </c>
      <c r="G71" s="3"/>
    </row>
    <row r="72" spans="1:7">
      <c r="A72" s="3" t="s">
        <v>120</v>
      </c>
      <c r="B72" s="3" t="s">
        <v>19</v>
      </c>
      <c r="C72" s="3" t="s">
        <v>27</v>
      </c>
      <c r="D72" s="46">
        <f>L43</f>
        <v>6800</v>
      </c>
      <c r="E72" s="46">
        <v>0</v>
      </c>
      <c r="F72" s="46">
        <f>L12*O12</f>
        <v>16750.2</v>
      </c>
      <c r="G72" s="3"/>
    </row>
    <row r="73" spans="1:7">
      <c r="A73" s="3" t="s">
        <v>120</v>
      </c>
      <c r="B73" s="3" t="s">
        <v>19</v>
      </c>
      <c r="C73" s="3" t="s">
        <v>71</v>
      </c>
      <c r="D73" s="46">
        <f>M43</f>
        <v>10600</v>
      </c>
      <c r="E73" s="46">
        <v>0</v>
      </c>
      <c r="F73" s="46">
        <f>L12*O12</f>
        <v>16750.2</v>
      </c>
      <c r="G73" s="3"/>
    </row>
    <row r="74" spans="1:7">
      <c r="A74" s="3" t="s">
        <v>120</v>
      </c>
      <c r="B74" s="3" t="s">
        <v>85</v>
      </c>
      <c r="C74" s="3" t="s">
        <v>27</v>
      </c>
      <c r="D74" s="46">
        <f>L43+N43</f>
        <v>8840</v>
      </c>
      <c r="E74" s="46">
        <v>0</v>
      </c>
      <c r="F74" s="46">
        <f>L12*O12</f>
        <v>16750.2</v>
      </c>
      <c r="G74" s="3"/>
    </row>
    <row r="75" spans="1:7">
      <c r="A75" s="3" t="s">
        <v>120</v>
      </c>
      <c r="B75" s="3" t="s">
        <v>85</v>
      </c>
      <c r="C75" s="3" t="s">
        <v>71</v>
      </c>
      <c r="D75" s="46">
        <f>M43+O43</f>
        <v>13780</v>
      </c>
      <c r="E75" s="46">
        <v>0</v>
      </c>
      <c r="F75" s="46">
        <f>L12*O12</f>
        <v>16750.2</v>
      </c>
      <c r="G75" s="3"/>
    </row>
    <row r="76" spans="1:7">
      <c r="A76" s="3" t="s">
        <v>120</v>
      </c>
      <c r="B76" s="3" t="s">
        <v>92</v>
      </c>
      <c r="C76" s="3" t="s">
        <v>27</v>
      </c>
      <c r="D76" s="46">
        <f>L43+P43</f>
        <v>9520</v>
      </c>
      <c r="E76" s="46">
        <v>0</v>
      </c>
      <c r="F76" s="46">
        <f>M12*O12</f>
        <v>25962.809999999998</v>
      </c>
      <c r="G76" s="3"/>
    </row>
    <row r="77" spans="1:7">
      <c r="A77" s="3" t="s">
        <v>120</v>
      </c>
      <c r="B77" s="3" t="s">
        <v>92</v>
      </c>
      <c r="C77" s="3" t="s">
        <v>71</v>
      </c>
      <c r="D77" s="46">
        <f>M43+Q43</f>
        <v>14840</v>
      </c>
      <c r="E77" s="46">
        <v>0</v>
      </c>
      <c r="F77" s="46">
        <f>M12*O12</f>
        <v>25962.809999999998</v>
      </c>
      <c r="G77" s="3"/>
    </row>
    <row r="78" spans="1:7">
      <c r="A78" s="3" t="s">
        <v>124</v>
      </c>
      <c r="B78" s="3" t="s">
        <v>19</v>
      </c>
      <c r="C78" s="3" t="s">
        <v>27</v>
      </c>
      <c r="D78" s="46">
        <f>L44</f>
        <v>6200</v>
      </c>
      <c r="E78" s="46">
        <v>0</v>
      </c>
      <c r="F78" s="46">
        <f>L11*O11</f>
        <v>12562.65</v>
      </c>
      <c r="G78" s="3"/>
    </row>
    <row r="79" spans="1:7">
      <c r="A79" s="3" t="s">
        <v>124</v>
      </c>
      <c r="B79" s="3" t="s">
        <v>19</v>
      </c>
      <c r="C79" s="3" t="s">
        <v>71</v>
      </c>
      <c r="D79" s="46">
        <f>M44</f>
        <v>9700</v>
      </c>
      <c r="E79" s="46">
        <v>0</v>
      </c>
      <c r="F79" s="46">
        <f>L11*O11</f>
        <v>12562.65</v>
      </c>
      <c r="G79" s="3"/>
    </row>
    <row r="80" spans="1:7">
      <c r="A80" s="3" t="s">
        <v>124</v>
      </c>
      <c r="B80" s="3" t="s">
        <v>85</v>
      </c>
      <c r="C80" s="3" t="s">
        <v>27</v>
      </c>
      <c r="D80" s="46">
        <f>L44+N44</f>
        <v>8060</v>
      </c>
      <c r="E80" s="46">
        <v>0</v>
      </c>
      <c r="F80" s="46">
        <f>L11*O11</f>
        <v>12562.65</v>
      </c>
      <c r="G80" s="3"/>
    </row>
    <row r="81" spans="1:7">
      <c r="A81" s="3" t="s">
        <v>124</v>
      </c>
      <c r="B81" s="3" t="s">
        <v>85</v>
      </c>
      <c r="C81" s="3" t="s">
        <v>71</v>
      </c>
      <c r="D81" s="46">
        <f>M44+O44</f>
        <v>12610</v>
      </c>
      <c r="E81" s="46">
        <v>0</v>
      </c>
      <c r="F81" s="46">
        <f>L11*O11</f>
        <v>12562.65</v>
      </c>
      <c r="G81" s="3"/>
    </row>
    <row r="82" spans="1:7">
      <c r="A82" s="3" t="s">
        <v>124</v>
      </c>
      <c r="B82" s="3" t="s">
        <v>92</v>
      </c>
      <c r="C82" s="3" t="s">
        <v>27</v>
      </c>
      <c r="D82" s="46">
        <f>L44+P44</f>
        <v>8680</v>
      </c>
      <c r="E82" s="46">
        <v>0</v>
      </c>
      <c r="F82" s="46">
        <f>M11*O11</f>
        <v>19262.73</v>
      </c>
      <c r="G82" s="3"/>
    </row>
    <row r="83" spans="1:7">
      <c r="A83" s="3" t="s">
        <v>124</v>
      </c>
      <c r="B83" s="3" t="s">
        <v>92</v>
      </c>
      <c r="C83" s="3" t="s">
        <v>71</v>
      </c>
      <c r="D83" s="46">
        <f>M44+Q44</f>
        <v>13580</v>
      </c>
      <c r="E83" s="46">
        <v>0</v>
      </c>
      <c r="F83" s="46">
        <f>M11*O11</f>
        <v>19262.73</v>
      </c>
      <c r="G83" s="3"/>
    </row>
    <row r="84" spans="1:7">
      <c r="A84" s="3" t="s">
        <v>84</v>
      </c>
      <c r="B84" s="3" t="s">
        <v>19</v>
      </c>
      <c r="C84" s="3" t="s">
        <v>27</v>
      </c>
      <c r="D84" s="46">
        <f>L52</f>
        <v>8100</v>
      </c>
      <c r="E84" s="46">
        <v>0</v>
      </c>
      <c r="F84" s="46">
        <f>L23*O23</f>
        <v>25137.84</v>
      </c>
      <c r="G84" s="3"/>
    </row>
    <row r="85" spans="1:7">
      <c r="A85" s="3" t="s">
        <v>84</v>
      </c>
      <c r="B85" s="3" t="s">
        <v>19</v>
      </c>
      <c r="C85" s="3" t="s">
        <v>71</v>
      </c>
      <c r="D85" s="46">
        <f>M52</f>
        <v>12700</v>
      </c>
      <c r="E85" s="46">
        <v>0</v>
      </c>
      <c r="F85" s="46">
        <f>L23*O23</f>
        <v>25137.84</v>
      </c>
      <c r="G85" s="3"/>
    </row>
    <row r="86" spans="1:7">
      <c r="A86" s="3" t="s">
        <v>84</v>
      </c>
      <c r="B86" s="3" t="s">
        <v>85</v>
      </c>
      <c r="C86" s="3" t="s">
        <v>27</v>
      </c>
      <c r="D86" s="46">
        <f>L52+N52</f>
        <v>10530</v>
      </c>
      <c r="E86" s="46">
        <v>0</v>
      </c>
      <c r="F86" s="46">
        <f>L23*O23</f>
        <v>25137.84</v>
      </c>
      <c r="G86" s="3"/>
    </row>
    <row r="87" spans="1:7">
      <c r="A87" s="3" t="s">
        <v>84</v>
      </c>
      <c r="B87" s="3" t="s">
        <v>85</v>
      </c>
      <c r="C87" s="3" t="s">
        <v>71</v>
      </c>
      <c r="D87" s="46">
        <f>M52+O52</f>
        <v>16510</v>
      </c>
      <c r="E87" s="46">
        <v>0</v>
      </c>
      <c r="F87" s="46">
        <f>L23*O23</f>
        <v>25137.84</v>
      </c>
      <c r="G87" s="3"/>
    </row>
    <row r="88" spans="1:7">
      <c r="A88" s="3" t="s">
        <v>84</v>
      </c>
      <c r="B88" s="3" t="s">
        <v>92</v>
      </c>
      <c r="C88" s="3" t="s">
        <v>27</v>
      </c>
      <c r="D88" s="46">
        <f>L52+P52</f>
        <v>11340</v>
      </c>
      <c r="E88" s="46">
        <v>0</v>
      </c>
      <c r="F88" s="46">
        <f>M23*O23</f>
        <v>33839.4</v>
      </c>
      <c r="G88" s="3"/>
    </row>
    <row r="89" spans="1:7">
      <c r="A89" s="3" t="s">
        <v>84</v>
      </c>
      <c r="B89" s="3" t="s">
        <v>92</v>
      </c>
      <c r="C89" s="3" t="s">
        <v>71</v>
      </c>
      <c r="D89" s="46">
        <f>M52+Q52</f>
        <v>17780</v>
      </c>
      <c r="E89" s="46">
        <v>0</v>
      </c>
      <c r="F89" s="46">
        <f>M23*O23</f>
        <v>33839.4</v>
      </c>
      <c r="G89" s="3"/>
    </row>
    <row r="90" spans="1:7">
      <c r="A90" s="3" t="s">
        <v>125</v>
      </c>
      <c r="B90" s="3" t="s">
        <v>19</v>
      </c>
      <c r="C90" s="3" t="s">
        <v>27</v>
      </c>
      <c r="D90">
        <f>L51</f>
        <v>9200</v>
      </c>
      <c r="E90" s="37">
        <f>L35</f>
        <v>3200</v>
      </c>
      <c r="F90" s="46">
        <f>L9*O9</f>
        <v>19401</v>
      </c>
      <c r="G90" s="3"/>
    </row>
    <row r="91" spans="1:7">
      <c r="A91" s="3" t="s">
        <v>125</v>
      </c>
      <c r="B91" s="3" t="s">
        <v>19</v>
      </c>
      <c r="C91" s="3" t="s">
        <v>71</v>
      </c>
      <c r="D91">
        <f>M51</f>
        <v>14500</v>
      </c>
      <c r="E91" s="37">
        <f>M35</f>
        <v>7100</v>
      </c>
      <c r="F91" s="46">
        <f>L9*O9</f>
        <v>19401</v>
      </c>
      <c r="G91" s="3"/>
    </row>
    <row r="92" spans="1:7">
      <c r="A92" s="3" t="s">
        <v>125</v>
      </c>
      <c r="B92" s="3" t="s">
        <v>85</v>
      </c>
      <c r="C92" s="3" t="s">
        <v>27</v>
      </c>
      <c r="D92">
        <f>L51+N51</f>
        <v>11960</v>
      </c>
      <c r="E92" s="37">
        <f>L35+O35</f>
        <v>4160</v>
      </c>
      <c r="F92" s="46">
        <f>L9*O9</f>
        <v>19401</v>
      </c>
      <c r="G92" s="3"/>
    </row>
    <row r="93" spans="1:7">
      <c r="A93" s="3" t="s">
        <v>125</v>
      </c>
      <c r="B93" s="3" t="s">
        <v>85</v>
      </c>
      <c r="C93" s="3" t="s">
        <v>71</v>
      </c>
      <c r="D93">
        <f>M51+O51</f>
        <v>18850</v>
      </c>
      <c r="E93" s="37">
        <f>M35+P35</f>
        <v>9230</v>
      </c>
      <c r="F93" s="46">
        <f>L9*O9</f>
        <v>19401</v>
      </c>
      <c r="G93" s="3"/>
    </row>
    <row r="94" spans="1:7">
      <c r="A94" s="3" t="s">
        <v>125</v>
      </c>
      <c r="B94" s="3" t="s">
        <v>92</v>
      </c>
      <c r="C94" s="3" t="s">
        <v>27</v>
      </c>
      <c r="D94">
        <f>L51+P51</f>
        <v>12880</v>
      </c>
      <c r="E94" s="37">
        <f>L35+R35</f>
        <v>4480</v>
      </c>
      <c r="F94" s="46">
        <f>M9*O9</f>
        <v>26385.360000000001</v>
      </c>
      <c r="G94" s="3"/>
    </row>
    <row r="95" spans="1:7">
      <c r="A95" s="3" t="s">
        <v>125</v>
      </c>
      <c r="B95" s="3" t="s">
        <v>92</v>
      </c>
      <c r="C95" s="3" t="s">
        <v>71</v>
      </c>
      <c r="D95">
        <f>M51+Q51</f>
        <v>20300</v>
      </c>
      <c r="E95" s="37">
        <f>M35+S35</f>
        <v>9940</v>
      </c>
      <c r="F95" s="46">
        <f>M9*O9</f>
        <v>26385.360000000001</v>
      </c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3"/>
      <c r="C101" s="3"/>
      <c r="D101" s="3"/>
      <c r="E101" s="3"/>
      <c r="F101" s="3"/>
      <c r="G101" s="3"/>
    </row>
    <row r="102" spans="1:7">
      <c r="A102" s="3"/>
      <c r="B102" s="3"/>
      <c r="C102" s="3"/>
      <c r="D102" s="3"/>
      <c r="E102" s="3"/>
      <c r="F102" s="3"/>
      <c r="G102" s="3"/>
    </row>
    <row r="103" spans="1:7">
      <c r="A103" s="3"/>
      <c r="B103" s="3"/>
      <c r="C103" s="3"/>
      <c r="D103" s="3"/>
      <c r="E103" s="3"/>
      <c r="F103" s="3"/>
      <c r="G103" s="3"/>
    </row>
    <row r="104" spans="1:7">
      <c r="A104" s="3"/>
      <c r="B104" s="3"/>
      <c r="C104" s="3"/>
      <c r="D104" s="3"/>
      <c r="E104" s="3"/>
      <c r="F104" s="3"/>
      <c r="G104" s="3"/>
    </row>
    <row r="105" spans="1:7">
      <c r="A105" s="3"/>
      <c r="B105" s="3"/>
      <c r="C105" s="3"/>
      <c r="D105" s="3"/>
      <c r="E105" s="3"/>
      <c r="F105" s="3"/>
      <c r="G105" s="3"/>
    </row>
    <row r="106" spans="1:7">
      <c r="A106" s="3"/>
      <c r="B106" s="3"/>
      <c r="C106" s="3"/>
      <c r="D106" s="3"/>
      <c r="E106" s="3"/>
      <c r="F106" s="3"/>
      <c r="G106" s="3"/>
    </row>
    <row r="107" spans="1:7">
      <c r="A107" s="3"/>
      <c r="B107" s="3"/>
      <c r="C107" s="3"/>
      <c r="D107" s="3"/>
      <c r="E107" s="3"/>
      <c r="F107" s="3"/>
      <c r="G107" s="3"/>
    </row>
    <row r="108" spans="1:7">
      <c r="A108" s="3"/>
      <c r="B108" s="3"/>
      <c r="C108" s="3"/>
      <c r="D108" s="3"/>
      <c r="E108" s="3"/>
      <c r="F108" s="3"/>
      <c r="G108" s="3"/>
    </row>
    <row r="109" spans="1:7">
      <c r="A109" s="3"/>
      <c r="B109" s="3"/>
      <c r="C109" s="3"/>
      <c r="D109" s="3"/>
      <c r="E109" s="3"/>
      <c r="F109" s="3"/>
      <c r="G109" s="3"/>
    </row>
    <row r="110" spans="1:7">
      <c r="A110" s="3"/>
      <c r="B110" s="3"/>
      <c r="C110" s="3"/>
      <c r="D110" s="3"/>
      <c r="E110" s="3"/>
      <c r="F110" s="3"/>
      <c r="G110" s="3"/>
    </row>
    <row r="111" spans="1:7">
      <c r="A111" s="3"/>
      <c r="B111" s="3"/>
      <c r="C111" s="3"/>
      <c r="D111" s="3"/>
      <c r="E111" s="3"/>
      <c r="F111" s="3"/>
      <c r="G111" s="3"/>
    </row>
    <row r="112" spans="1:7">
      <c r="A112" s="3"/>
      <c r="B112" s="3"/>
      <c r="C112" s="3"/>
      <c r="D112" s="3"/>
      <c r="E112" s="3"/>
      <c r="F112" s="3"/>
      <c r="G112" s="3"/>
    </row>
    <row r="113" spans="1:7">
      <c r="A113" s="3"/>
      <c r="B113" s="3"/>
      <c r="C113" s="3"/>
      <c r="D113" s="3"/>
      <c r="E113" s="3"/>
      <c r="F113" s="3"/>
      <c r="G113" s="3"/>
    </row>
    <row r="114" spans="1:7">
      <c r="A114" s="3"/>
      <c r="B114" s="3"/>
      <c r="C114" s="3"/>
      <c r="D114" s="3"/>
      <c r="E114" s="3"/>
      <c r="F114" s="3"/>
      <c r="G114" s="3"/>
    </row>
    <row r="115" spans="1:7">
      <c r="A115" s="3"/>
      <c r="B115" s="3"/>
      <c r="C115" s="3"/>
      <c r="D115" s="3"/>
      <c r="E115" s="3"/>
      <c r="F115" s="3"/>
      <c r="G115" s="3"/>
    </row>
    <row r="116" spans="1:7">
      <c r="A116" s="3"/>
      <c r="B116" s="3"/>
      <c r="C116" s="3"/>
      <c r="D116" s="3"/>
      <c r="E116" s="3"/>
      <c r="F116" s="3"/>
      <c r="G116" s="3"/>
    </row>
    <row r="117" spans="1:7">
      <c r="A117" s="3"/>
      <c r="B117" s="3"/>
      <c r="C117" s="3"/>
      <c r="D117" s="3"/>
      <c r="E117" s="3"/>
      <c r="F117" s="3"/>
      <c r="G117" s="3"/>
    </row>
    <row r="118" spans="1:7">
      <c r="A118" s="3"/>
      <c r="B118" s="3"/>
      <c r="C118" s="3"/>
      <c r="D118" s="3"/>
      <c r="E118" s="3"/>
      <c r="F118" s="3"/>
      <c r="G118" s="3"/>
    </row>
    <row r="119" spans="1:7">
      <c r="A119" s="3"/>
      <c r="B119" s="3"/>
      <c r="C119" s="3"/>
      <c r="D119" s="3"/>
      <c r="E119" s="3"/>
      <c r="F119" s="3"/>
      <c r="G119" s="3"/>
    </row>
    <row r="120" spans="1:7">
      <c r="A120" s="3"/>
      <c r="B120" s="3"/>
      <c r="C120" s="3"/>
      <c r="D120" s="3"/>
      <c r="E120" s="3"/>
      <c r="F120" s="3"/>
      <c r="G120" s="3"/>
    </row>
    <row r="121" spans="1:7">
      <c r="A121" s="3"/>
      <c r="B121" s="3"/>
      <c r="C121" s="3"/>
      <c r="D121" s="3"/>
      <c r="E121" s="3"/>
      <c r="F121" s="3"/>
      <c r="G121" s="3"/>
    </row>
    <row r="122" spans="1:7">
      <c r="A122" s="3"/>
      <c r="B122" s="3"/>
      <c r="C122" s="3"/>
      <c r="D122" s="3"/>
      <c r="E122" s="3"/>
      <c r="F122" s="3"/>
      <c r="G122" s="3"/>
    </row>
    <row r="123" spans="1:7">
      <c r="A123" s="3"/>
      <c r="B123" s="3"/>
      <c r="C123" s="3"/>
      <c r="D123" s="3"/>
      <c r="E123" s="3"/>
      <c r="F123" s="3"/>
      <c r="G123" s="3"/>
    </row>
    <row r="124" spans="1:7">
      <c r="A124" s="3"/>
      <c r="B124" s="3"/>
      <c r="C124" s="3"/>
      <c r="D124" s="3"/>
      <c r="E124" s="3"/>
      <c r="F124" s="3"/>
      <c r="G124" s="3"/>
    </row>
    <row r="125" spans="1:7">
      <c r="A125" s="3"/>
      <c r="B125" s="3"/>
      <c r="C125" s="3"/>
      <c r="D125" s="3"/>
      <c r="E125" s="3"/>
      <c r="F125" s="3"/>
      <c r="G125" s="3"/>
    </row>
    <row r="126" spans="1:7">
      <c r="A126" s="3"/>
      <c r="B126" s="3"/>
      <c r="C126" s="3"/>
      <c r="D126" s="3"/>
      <c r="E126" s="3"/>
      <c r="F126" s="3"/>
      <c r="G126" s="3"/>
    </row>
    <row r="127" spans="1:7">
      <c r="A127" s="3"/>
      <c r="B127" s="3"/>
      <c r="C127" s="3"/>
      <c r="D127" s="3"/>
      <c r="E127" s="3"/>
      <c r="F127" s="3"/>
      <c r="G127" s="3"/>
    </row>
    <row r="128" spans="1:7">
      <c r="A128" s="3"/>
      <c r="B128" s="3"/>
      <c r="C128" s="3"/>
      <c r="D128" s="3"/>
      <c r="E128" s="3"/>
      <c r="F128" s="3"/>
      <c r="G128" s="3"/>
    </row>
    <row r="129" spans="1:7">
      <c r="A129" s="3"/>
      <c r="B129" s="3"/>
      <c r="C129" s="3"/>
      <c r="D129" s="3"/>
      <c r="E129" s="3"/>
      <c r="F129" s="3"/>
      <c r="G129" s="3"/>
    </row>
    <row r="130" spans="1:7">
      <c r="A130" s="3"/>
      <c r="B130" s="3"/>
      <c r="C130" s="3"/>
      <c r="D130" s="3"/>
      <c r="E130" s="3"/>
      <c r="F130" s="3"/>
      <c r="G130" s="3"/>
    </row>
    <row r="131" spans="1:7">
      <c r="A131" s="3"/>
      <c r="B131" s="3"/>
      <c r="C131" s="3"/>
      <c r="D131" s="3"/>
      <c r="E131" s="3"/>
      <c r="F131" s="3"/>
      <c r="G131" s="3"/>
    </row>
    <row r="132" spans="1:7">
      <c r="A132" s="3"/>
      <c r="B132" s="3"/>
      <c r="C132" s="3"/>
      <c r="D132" s="3"/>
      <c r="E132" s="3"/>
      <c r="F132" s="3"/>
      <c r="G132" s="3"/>
    </row>
    <row r="133" spans="1:7">
      <c r="A133" s="3"/>
      <c r="B133" s="3"/>
      <c r="C133" s="3"/>
      <c r="D133" s="3"/>
      <c r="E133" s="3"/>
      <c r="F133" s="3"/>
      <c r="G133" s="3"/>
    </row>
    <row r="134" spans="1:7">
      <c r="A134" s="3"/>
      <c r="B134" s="3"/>
      <c r="C134" s="3"/>
      <c r="D134" s="3"/>
      <c r="E134" s="3"/>
      <c r="F134" s="3"/>
      <c r="G134" s="3"/>
    </row>
    <row r="135" spans="1:7">
      <c r="A135" s="3"/>
      <c r="B135" s="3"/>
      <c r="C135" s="3"/>
      <c r="D135" s="3"/>
      <c r="E135" s="3"/>
      <c r="F135" s="3"/>
      <c r="G135" s="3"/>
    </row>
    <row r="136" spans="1:7">
      <c r="A136" s="3"/>
      <c r="B136" s="3"/>
      <c r="C136" s="3"/>
      <c r="D136" s="3"/>
      <c r="E136" s="3"/>
      <c r="F136" s="3"/>
      <c r="G136" s="3"/>
    </row>
    <row r="137" spans="1:7">
      <c r="A137" s="3"/>
      <c r="B137" s="3"/>
      <c r="C137" s="3"/>
      <c r="D137" s="3"/>
      <c r="E137" s="3"/>
      <c r="F137" s="3"/>
      <c r="G137" s="3"/>
    </row>
    <row r="138" spans="1:7">
      <c r="A138" s="3"/>
      <c r="B138" s="3"/>
      <c r="C138" s="3"/>
      <c r="D138" s="3"/>
      <c r="E138" s="3"/>
      <c r="F138" s="3"/>
      <c r="G138" s="3"/>
    </row>
    <row r="139" spans="1:7">
      <c r="A139" s="3"/>
      <c r="B139" s="3"/>
      <c r="C139" s="3"/>
      <c r="D139" s="3"/>
      <c r="E139" s="3"/>
      <c r="F139" s="3"/>
      <c r="G139" s="3"/>
    </row>
    <row r="140" spans="1:7">
      <c r="A140" s="3"/>
      <c r="B140" s="3"/>
      <c r="C140" s="3"/>
      <c r="D140" s="3"/>
      <c r="E140" s="3"/>
      <c r="F140" s="3"/>
      <c r="G140" s="3"/>
    </row>
    <row r="141" spans="1:7">
      <c r="A141" s="3"/>
      <c r="B141" s="3"/>
      <c r="C141" s="3"/>
      <c r="D141" s="3"/>
      <c r="E141" s="3"/>
      <c r="F141" s="3"/>
      <c r="G141" s="3"/>
    </row>
    <row r="142" spans="1:7">
      <c r="A142" s="3"/>
      <c r="B142" s="3"/>
      <c r="C142" s="3"/>
      <c r="D142" s="3"/>
      <c r="E142" s="3"/>
      <c r="F142" s="3"/>
      <c r="G142" s="3"/>
    </row>
    <row r="143" spans="1:7">
      <c r="A143" s="3"/>
      <c r="B143" s="3"/>
      <c r="C143" s="3"/>
      <c r="D143" s="3"/>
      <c r="E143" s="3"/>
      <c r="F143" s="3"/>
      <c r="G143" s="3"/>
    </row>
    <row r="144" spans="1:7">
      <c r="A144" s="3"/>
      <c r="B144" s="3"/>
      <c r="C144" s="3"/>
      <c r="D144" s="3"/>
      <c r="E144" s="3"/>
      <c r="F144" s="3"/>
      <c r="G144" s="3"/>
    </row>
    <row r="145" spans="1:7">
      <c r="A145" s="3"/>
      <c r="B145" s="3"/>
      <c r="C145" s="3"/>
      <c r="D145" s="3"/>
      <c r="E145" s="3"/>
      <c r="F145" s="3"/>
      <c r="G145" s="3"/>
    </row>
    <row r="146" spans="1:7">
      <c r="A146" s="3"/>
      <c r="B146" s="3"/>
      <c r="C146" s="3"/>
      <c r="D146" s="3"/>
      <c r="E146" s="3"/>
      <c r="F146" s="3"/>
      <c r="G146" s="3"/>
    </row>
    <row r="147" spans="1:7">
      <c r="A147" s="3"/>
      <c r="B147" s="3"/>
      <c r="C147" s="3"/>
      <c r="D147" s="3"/>
      <c r="E147" s="3"/>
      <c r="F147" s="3"/>
      <c r="G147" s="3"/>
    </row>
    <row r="148" spans="1:7">
      <c r="A148" s="3"/>
      <c r="B148" s="3"/>
      <c r="C148" s="3"/>
      <c r="D148" s="3"/>
      <c r="E148" s="3"/>
      <c r="F148" s="3"/>
      <c r="G148" s="3"/>
    </row>
    <row r="149" spans="1:7">
      <c r="A149" s="3"/>
      <c r="B149" s="3"/>
      <c r="C149" s="3"/>
      <c r="D149" s="3"/>
      <c r="E149" s="3"/>
      <c r="F149" s="3"/>
      <c r="G149" s="3"/>
    </row>
    <row r="150" spans="1:7">
      <c r="A150" s="3"/>
      <c r="B150" s="3"/>
      <c r="C150" s="3"/>
      <c r="D150" s="3"/>
      <c r="E150" s="3"/>
      <c r="F150" s="3"/>
      <c r="G150" s="3"/>
    </row>
    <row r="151" spans="1:7">
      <c r="A151" s="3"/>
      <c r="B151" s="3"/>
      <c r="C151" s="3"/>
      <c r="D151" s="3"/>
      <c r="E151" s="3"/>
      <c r="F151" s="3"/>
      <c r="G151" s="3"/>
    </row>
    <row r="152" spans="1:7">
      <c r="A152" s="3"/>
      <c r="B152" s="3"/>
      <c r="C152" s="3"/>
      <c r="D152" s="3"/>
      <c r="E152" s="3"/>
      <c r="F152" s="3"/>
      <c r="G152" s="3"/>
    </row>
    <row r="153" spans="1:7">
      <c r="A153" s="3"/>
      <c r="B153" s="3"/>
      <c r="C153" s="3"/>
      <c r="D153" s="3"/>
      <c r="E153" s="3"/>
      <c r="F153" s="3"/>
      <c r="G153" s="3"/>
    </row>
    <row r="154" spans="1:7">
      <c r="A154" s="3"/>
      <c r="B154" s="3"/>
      <c r="C154" s="3"/>
      <c r="D154" s="3"/>
      <c r="E154" s="3"/>
      <c r="F154" s="3"/>
      <c r="G154" s="3"/>
    </row>
    <row r="155" spans="1:7">
      <c r="A155" s="3"/>
      <c r="B155" s="3"/>
      <c r="C155" s="3"/>
      <c r="D155" s="3"/>
      <c r="E155" s="3"/>
      <c r="F155" s="3"/>
      <c r="G155" s="3"/>
    </row>
    <row r="156" spans="1:7">
      <c r="A156" s="3"/>
      <c r="B156" s="3"/>
      <c r="C156" s="3"/>
      <c r="D156" s="3"/>
      <c r="E156" s="3"/>
      <c r="F156" s="3"/>
      <c r="G156" s="3"/>
    </row>
    <row r="157" spans="1:7">
      <c r="A157" s="3"/>
      <c r="B157" s="3"/>
      <c r="C157" s="3"/>
      <c r="D157" s="3"/>
      <c r="E157" s="3"/>
      <c r="F157" s="3"/>
      <c r="G157" s="3"/>
    </row>
    <row r="158" spans="1:7">
      <c r="A158" s="3"/>
      <c r="B158" s="3"/>
      <c r="C158" s="3"/>
      <c r="D158" s="3"/>
      <c r="E158" s="3"/>
      <c r="F158" s="3"/>
      <c r="G158" s="3"/>
    </row>
    <row r="159" spans="1:7">
      <c r="A159" s="3"/>
      <c r="B159" s="3"/>
      <c r="C159" s="3"/>
      <c r="D159" s="3"/>
      <c r="E159" s="3"/>
      <c r="F159" s="3"/>
      <c r="G159" s="3"/>
    </row>
    <row r="160" spans="1:7">
      <c r="A160" s="3"/>
      <c r="B160" s="3"/>
      <c r="C160" s="3"/>
      <c r="D160" s="3"/>
      <c r="E160" s="3"/>
      <c r="F160" s="3"/>
      <c r="G160" s="3"/>
    </row>
    <row r="161" spans="1:7">
      <c r="A161" s="3"/>
      <c r="B161" s="3"/>
      <c r="C161" s="3"/>
      <c r="D161" s="3"/>
      <c r="E161" s="3"/>
      <c r="F161" s="3"/>
      <c r="G161" s="3"/>
    </row>
    <row r="162" spans="1:7">
      <c r="A162" s="3"/>
      <c r="B162" s="3"/>
      <c r="C162" s="3"/>
      <c r="D162" s="3"/>
      <c r="E162" s="3"/>
      <c r="F162" s="3"/>
      <c r="G162" s="3"/>
    </row>
    <row r="163" spans="1:7">
      <c r="A163" s="3"/>
      <c r="B163" s="3"/>
      <c r="C163" s="3"/>
      <c r="D163" s="3"/>
      <c r="E163" s="3"/>
      <c r="F163" s="3"/>
      <c r="G163" s="3"/>
    </row>
    <row r="164" spans="1:7">
      <c r="A164" s="3"/>
      <c r="B164" s="3"/>
      <c r="C164" s="3"/>
      <c r="D164" s="3"/>
      <c r="E164" s="3"/>
      <c r="F164" s="3"/>
      <c r="G164" s="3"/>
    </row>
    <row r="165" spans="1:7">
      <c r="A165" s="3"/>
      <c r="B165" s="3"/>
      <c r="C165" s="3"/>
      <c r="D165" s="3"/>
      <c r="E165" s="3"/>
      <c r="F165" s="3"/>
      <c r="G165" s="3"/>
    </row>
    <row r="166" spans="1:7">
      <c r="A166" s="3"/>
      <c r="B166" s="3"/>
      <c r="C166" s="3"/>
      <c r="D166" s="3"/>
      <c r="E166" s="3"/>
      <c r="F166" s="3"/>
      <c r="G166" s="3"/>
    </row>
    <row r="167" spans="1:7">
      <c r="A167" s="3"/>
      <c r="B167" s="3"/>
      <c r="C167" s="3"/>
      <c r="D167" s="3"/>
      <c r="E167" s="3"/>
      <c r="F167" s="3"/>
      <c r="G167" s="3"/>
    </row>
    <row r="168" spans="1:7">
      <c r="A168" s="3"/>
      <c r="B168" s="3"/>
      <c r="C168" s="3"/>
      <c r="D168" s="3"/>
      <c r="E168" s="3"/>
      <c r="F168" s="3"/>
      <c r="G168" s="3"/>
    </row>
    <row r="169" spans="1:7">
      <c r="A169" s="3"/>
      <c r="B169" s="3"/>
      <c r="C169" s="3"/>
      <c r="D169" s="3"/>
      <c r="E169" s="3"/>
      <c r="F169" s="3"/>
      <c r="G169" s="3"/>
    </row>
    <row r="170" spans="1:7">
      <c r="A170" s="3"/>
      <c r="B170" s="3"/>
      <c r="C170" s="3"/>
      <c r="D170" s="3"/>
      <c r="E170" s="3"/>
      <c r="F170" s="3"/>
      <c r="G170" s="3"/>
    </row>
    <row r="171" spans="1:7">
      <c r="A171" s="3"/>
      <c r="B171" s="3"/>
      <c r="C171" s="3"/>
      <c r="D171" s="3"/>
      <c r="E171" s="3"/>
      <c r="F171" s="3"/>
      <c r="G171" s="3"/>
    </row>
    <row r="172" spans="1:7">
      <c r="A172" s="3"/>
      <c r="B172" s="3"/>
      <c r="C172" s="3"/>
      <c r="D172" s="3"/>
      <c r="E172" s="3"/>
      <c r="F172" s="3"/>
      <c r="G172" s="3"/>
    </row>
    <row r="173" spans="1:7">
      <c r="A173" s="3"/>
      <c r="B173" s="3"/>
      <c r="C173" s="3"/>
      <c r="D173" s="3"/>
      <c r="E173" s="3"/>
      <c r="F173" s="3"/>
      <c r="G173" s="3"/>
    </row>
    <row r="174" spans="1:7">
      <c r="A174" s="3"/>
      <c r="B174" s="3"/>
      <c r="C174" s="3"/>
      <c r="D174" s="3"/>
      <c r="E174" s="3"/>
      <c r="F174" s="3"/>
      <c r="G174" s="3"/>
    </row>
    <row r="175" spans="1:7">
      <c r="A175" s="3"/>
      <c r="B175" s="3"/>
      <c r="C175" s="3"/>
      <c r="D175" s="3"/>
      <c r="E175" s="3"/>
      <c r="F175" s="3"/>
      <c r="G175" s="3"/>
    </row>
    <row r="176" spans="1:7">
      <c r="A176" s="3"/>
      <c r="B176" s="3"/>
      <c r="C176" s="3"/>
      <c r="D176" s="3"/>
      <c r="E176" s="3"/>
      <c r="F176" s="3"/>
      <c r="G176" s="3"/>
    </row>
    <row r="177" spans="1:7">
      <c r="A177" s="3"/>
      <c r="B177" s="3"/>
      <c r="C177" s="3"/>
      <c r="D177" s="3"/>
      <c r="E177" s="3"/>
      <c r="F177" s="3"/>
      <c r="G177" s="3"/>
    </row>
    <row r="178" spans="1:7">
      <c r="A178" s="3"/>
      <c r="B178" s="3"/>
      <c r="C178" s="3"/>
      <c r="D178" s="3"/>
      <c r="E178" s="3"/>
      <c r="F178" s="3"/>
      <c r="G178" s="3"/>
    </row>
    <row r="179" spans="1:7">
      <c r="A179" s="3"/>
      <c r="B179" s="3"/>
      <c r="C179" s="3"/>
      <c r="D179" s="3"/>
      <c r="E179" s="3"/>
      <c r="F179" s="3"/>
      <c r="G179" s="3"/>
    </row>
    <row r="180" spans="1:7">
      <c r="A180" s="3"/>
      <c r="B180" s="3"/>
      <c r="C180" s="3"/>
      <c r="D180" s="3"/>
      <c r="E180" s="3"/>
      <c r="F180" s="3"/>
      <c r="G180" s="3"/>
    </row>
    <row r="181" spans="1:7">
      <c r="A181" s="3"/>
      <c r="B181" s="3"/>
      <c r="C181" s="3"/>
      <c r="D181" s="3"/>
      <c r="E181" s="3"/>
      <c r="F181" s="3"/>
      <c r="G181" s="3"/>
    </row>
    <row r="182" spans="1:7">
      <c r="A182" s="3"/>
      <c r="B182" s="3"/>
      <c r="C182" s="3"/>
      <c r="D182" s="3"/>
      <c r="E182" s="3"/>
      <c r="F182" s="3"/>
      <c r="G182" s="3"/>
    </row>
    <row r="183" spans="1:7">
      <c r="A183" s="3"/>
      <c r="B183" s="3"/>
      <c r="C183" s="3"/>
      <c r="D183" s="3"/>
      <c r="E183" s="3"/>
      <c r="F183" s="3"/>
      <c r="G183" s="3"/>
    </row>
    <row r="184" spans="1:7">
      <c r="A184" s="3"/>
      <c r="B184" s="3"/>
      <c r="C184" s="3"/>
      <c r="D184" s="3"/>
      <c r="E184" s="3"/>
      <c r="F184" s="3"/>
      <c r="G184" s="3"/>
    </row>
    <row r="185" spans="1:7">
      <c r="A185" s="3"/>
      <c r="B185" s="3"/>
      <c r="C185" s="3"/>
      <c r="D185" s="3"/>
      <c r="E185" s="3"/>
      <c r="F185" s="3"/>
      <c r="G185" s="3"/>
    </row>
    <row r="186" spans="1:7">
      <c r="A186" s="3"/>
      <c r="B186" s="3"/>
      <c r="C186" s="3"/>
      <c r="D186" s="3"/>
      <c r="E186" s="3"/>
      <c r="F186" s="3"/>
      <c r="G186" s="3"/>
    </row>
    <row r="187" spans="1:7">
      <c r="A187" s="3"/>
      <c r="B187" s="3"/>
      <c r="C187" s="3"/>
      <c r="D187" s="3"/>
      <c r="E187" s="3"/>
      <c r="F187" s="3"/>
      <c r="G187" s="3"/>
    </row>
    <row r="188" spans="1:7">
      <c r="A188" s="3"/>
      <c r="B188" s="3"/>
      <c r="C188" s="3"/>
      <c r="D188" s="3"/>
      <c r="E188" s="3"/>
      <c r="F188" s="3"/>
      <c r="G188" s="3"/>
    </row>
    <row r="189" spans="1:7">
      <c r="A189" s="3"/>
      <c r="B189" s="3"/>
      <c r="C189" s="3"/>
      <c r="D189" s="3"/>
      <c r="E189" s="3"/>
      <c r="F189" s="3"/>
      <c r="G189" s="3"/>
    </row>
    <row r="190" spans="1:7">
      <c r="A190" s="3"/>
      <c r="B190" s="3"/>
      <c r="C190" s="3"/>
      <c r="D190" s="3"/>
      <c r="E190" s="3"/>
      <c r="F190" s="3"/>
      <c r="G190" s="3"/>
    </row>
    <row r="191" spans="1:7">
      <c r="A191" s="3"/>
      <c r="B191" s="3"/>
      <c r="C191" s="3"/>
      <c r="D191" s="3"/>
      <c r="E191" s="3"/>
      <c r="F191" s="3"/>
      <c r="G191" s="3"/>
    </row>
    <row r="192" spans="1:7">
      <c r="A192" s="3"/>
      <c r="B192" s="3"/>
      <c r="C192" s="3"/>
      <c r="D192" s="3"/>
      <c r="E192" s="3"/>
      <c r="F192" s="3"/>
      <c r="G192" s="3"/>
    </row>
    <row r="193" spans="1:7">
      <c r="A193" s="3"/>
      <c r="B193" s="3"/>
      <c r="C193" s="3"/>
      <c r="D193" s="3"/>
      <c r="E193" s="3"/>
      <c r="F193" s="3"/>
      <c r="G193" s="3"/>
    </row>
    <row r="194" spans="1:7">
      <c r="A194" s="3"/>
      <c r="B194" s="3"/>
      <c r="C194" s="3"/>
      <c r="D194" s="3"/>
      <c r="E194" s="3"/>
      <c r="F194" s="3"/>
      <c r="G194" s="3"/>
    </row>
    <row r="195" spans="1:7">
      <c r="A195" s="3"/>
      <c r="B195" s="3"/>
      <c r="C195" s="3"/>
      <c r="D195" s="3"/>
      <c r="E195" s="3"/>
      <c r="F195" s="3"/>
      <c r="G195" s="3"/>
    </row>
    <row r="196" spans="1:7">
      <c r="A196" s="3"/>
      <c r="B196" s="3"/>
      <c r="C196" s="3"/>
      <c r="D196" s="3"/>
      <c r="E196" s="3"/>
      <c r="F196" s="3"/>
      <c r="G196" s="3"/>
    </row>
    <row r="197" spans="1:7">
      <c r="A197" s="3"/>
      <c r="B197" s="3"/>
      <c r="C197" s="3"/>
      <c r="D197" s="3"/>
      <c r="E197" s="3"/>
      <c r="F197" s="3"/>
      <c r="G197" s="3"/>
    </row>
    <row r="198" spans="1:7">
      <c r="A198" s="3"/>
      <c r="B198" s="3"/>
      <c r="C198" s="3"/>
      <c r="D198" s="3"/>
      <c r="E198" s="3"/>
      <c r="F198" s="3"/>
      <c r="G198" s="3"/>
    </row>
    <row r="199" spans="1:7">
      <c r="A199" s="3"/>
      <c r="B199" s="3"/>
      <c r="C199" s="3"/>
      <c r="D199" s="3"/>
      <c r="E199" s="3"/>
      <c r="F199" s="3"/>
      <c r="G199" s="3"/>
    </row>
    <row r="200" spans="1:7">
      <c r="A200" s="3"/>
      <c r="B200" s="3"/>
      <c r="C200" s="3"/>
      <c r="D200" s="3"/>
      <c r="E200" s="3"/>
      <c r="F200" s="3"/>
      <c r="G200" s="3"/>
    </row>
    <row r="201" spans="1:7">
      <c r="A201" s="3"/>
      <c r="B201" s="3"/>
      <c r="C201" s="3"/>
      <c r="D201" s="3"/>
      <c r="E201" s="3"/>
      <c r="F201" s="3"/>
      <c r="G201" s="3"/>
    </row>
    <row r="202" spans="1:7">
      <c r="A202" s="3"/>
      <c r="B202" s="3"/>
      <c r="C202" s="3"/>
      <c r="D202" s="3"/>
      <c r="E202" s="3"/>
      <c r="F202" s="3"/>
      <c r="G202" s="3"/>
    </row>
    <row r="203" spans="1:7">
      <c r="A203" s="3"/>
      <c r="B203" s="3"/>
      <c r="C203" s="3"/>
      <c r="D203" s="3"/>
      <c r="E203" s="3"/>
      <c r="F203" s="3"/>
      <c r="G203" s="3"/>
    </row>
    <row r="204" spans="1:7">
      <c r="A204" s="3"/>
      <c r="B204" s="3"/>
      <c r="C204" s="3"/>
      <c r="D204" s="3"/>
      <c r="E204" s="3"/>
      <c r="F204" s="3"/>
      <c r="G204" s="3"/>
    </row>
    <row r="205" spans="1:7">
      <c r="A205" s="3"/>
      <c r="B205" s="3"/>
      <c r="C205" s="3"/>
      <c r="D205" s="3"/>
      <c r="E205" s="3"/>
      <c r="F205" s="3"/>
      <c r="G205" s="3"/>
    </row>
    <row r="206" spans="1:7">
      <c r="A206" s="3"/>
      <c r="B206" s="3"/>
      <c r="C206" s="3"/>
      <c r="D206" s="3"/>
      <c r="E206" s="3"/>
      <c r="F206" s="3"/>
      <c r="G206" s="3"/>
    </row>
    <row r="207" spans="1:7">
      <c r="A207" s="3"/>
      <c r="B207" s="3"/>
      <c r="C207" s="3"/>
      <c r="D207" s="3"/>
      <c r="E207" s="3"/>
      <c r="F207" s="3"/>
      <c r="G207" s="3"/>
    </row>
    <row r="208" spans="1:7">
      <c r="A208" s="3"/>
      <c r="B208" s="3"/>
      <c r="C208" s="3"/>
      <c r="D208" s="3"/>
      <c r="E208" s="3"/>
      <c r="F208" s="3"/>
      <c r="G208" s="3"/>
    </row>
    <row r="209" spans="1:7">
      <c r="A209" s="3"/>
      <c r="B209" s="3"/>
      <c r="C209" s="3"/>
      <c r="D209" s="3"/>
      <c r="E209" s="3"/>
      <c r="F209" s="3"/>
      <c r="G209" s="3"/>
    </row>
  </sheetData>
  <mergeCells count="11">
    <mergeCell ref="O27:Q27"/>
    <mergeCell ref="J39:J41"/>
    <mergeCell ref="K39:K41"/>
    <mergeCell ref="L39:Q39"/>
    <mergeCell ref="L40:M40"/>
    <mergeCell ref="N40:O40"/>
    <mergeCell ref="P40:Q40"/>
    <mergeCell ref="J27:J28"/>
    <mergeCell ref="K27:K28"/>
    <mergeCell ref="L27:N27"/>
    <mergeCell ref="B15:G15"/>
  </mergeCells>
  <phoneticPr fontId="18" type="noConversion"/>
  <dataValidations count="4">
    <dataValidation type="list" showInputMessage="1" showErrorMessage="1" sqref="C5" xr:uid="{7FAD1675-24ED-4547-B463-517BD786D156}">
      <formula1>"仅本人,本人+配偶,本人+配偶+子女,"</formula1>
    </dataValidation>
    <dataValidation type="list" showInputMessage="1" showErrorMessage="1" sqref="C3" xr:uid="{C111ADCA-E74F-2749-BF8D-A31EF4AA6F4B}">
      <formula1>"印尼雅加达,泰国曼谷,新加坡,马来西亚吉隆坡,日本东京,韩国首尔,英国伦敦,法国巴黎,德国慕尼黑,德国法兰克福,美国洛杉矶,美国旧金山,阿联酋迪拜,沙特阿拉伯,中国香港,"</formula1>
    </dataValidation>
    <dataValidation type="list" allowBlank="1" showInputMessage="1" showErrorMessage="1" sqref="C7" xr:uid="{12D02C1C-D451-364A-840C-3616EF39A591}">
      <formula1>"5,6,7,8,9,10,11,12,13,14,L1-1,L1-2,L2-1,L2-2"</formula1>
    </dataValidation>
    <dataValidation showInputMessage="1" showErrorMessage="1" sqref="C6" xr:uid="{AF713393-B232-7E46-954F-144CF083946F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E0DD-188F-F44A-8B25-10C041E162F3}">
  <dimension ref="B1:M208"/>
  <sheetViews>
    <sheetView workbookViewId="0">
      <selection activeCell="M12" sqref="M12"/>
    </sheetView>
  </sheetViews>
  <sheetFormatPr baseColWidth="10" defaultRowHeight="13"/>
  <cols>
    <col min="1" max="1" width="4.796875" customWidth="1"/>
    <col min="2" max="2" width="13.796875" customWidth="1"/>
    <col min="3" max="3" width="22.796875" customWidth="1"/>
    <col min="4" max="5" width="13.796875" customWidth="1"/>
    <col min="6" max="6" width="15.3984375" customWidth="1"/>
    <col min="7" max="8" width="13.796875" customWidth="1"/>
    <col min="9" max="9" width="7.796875" customWidth="1"/>
    <col min="10" max="10" width="8.796875" customWidth="1"/>
    <col min="11" max="11" width="7.796875" customWidth="1"/>
    <col min="12" max="12" width="12.796875" customWidth="1"/>
    <col min="13" max="13" width="13.796875" customWidth="1"/>
    <col min="14" max="14" width="6.796875" customWidth="1"/>
    <col min="15" max="15" width="3.796875" customWidth="1"/>
  </cols>
  <sheetData>
    <row r="1" spans="2:13">
      <c r="B1" s="3"/>
      <c r="C1" s="3"/>
      <c r="D1" s="3"/>
      <c r="E1" s="3"/>
      <c r="F1" s="3"/>
      <c r="G1" s="3"/>
      <c r="M1" s="3"/>
    </row>
    <row r="2" spans="2:13" ht="79" customHeight="1" thickBot="1">
      <c r="B2" s="6" t="s">
        <v>153</v>
      </c>
      <c r="C2" s="108" t="s">
        <v>156</v>
      </c>
      <c r="D2" s="108"/>
      <c r="E2" s="108"/>
      <c r="F2" s="108"/>
      <c r="G2" s="108"/>
      <c r="H2" s="108"/>
      <c r="M2" s="7"/>
    </row>
    <row r="3" spans="2:13">
      <c r="B3" s="9" t="s">
        <v>3</v>
      </c>
      <c r="C3" s="10" t="s">
        <v>4</v>
      </c>
      <c r="D3" s="11" t="s">
        <v>5</v>
      </c>
      <c r="E3" s="10" t="s">
        <v>6</v>
      </c>
      <c r="F3" s="11" t="s">
        <v>7</v>
      </c>
      <c r="G3" s="10"/>
      <c r="H3" s="12"/>
      <c r="I3" s="13"/>
      <c r="J3" t="s">
        <v>138</v>
      </c>
      <c r="M3" s="7"/>
    </row>
    <row r="4" spans="2:13">
      <c r="B4" s="15"/>
      <c r="C4" s="3" t="s">
        <v>12</v>
      </c>
      <c r="D4" s="72">
        <v>6</v>
      </c>
      <c r="E4" s="3" t="s">
        <v>13</v>
      </c>
      <c r="F4" s="3"/>
      <c r="G4" s="3"/>
      <c r="H4" s="16"/>
      <c r="I4" s="13"/>
      <c r="J4" t="s">
        <v>139</v>
      </c>
      <c r="M4" s="3"/>
    </row>
    <row r="5" spans="2:13">
      <c r="B5" s="15"/>
      <c r="C5" s="3" t="s">
        <v>16</v>
      </c>
      <c r="D5" s="73">
        <v>60</v>
      </c>
      <c r="E5" s="3" t="s">
        <v>17</v>
      </c>
      <c r="F5" s="3"/>
      <c r="G5" s="3"/>
      <c r="H5" s="16"/>
      <c r="I5" s="13"/>
      <c r="J5" t="s">
        <v>140</v>
      </c>
      <c r="M5" s="3"/>
    </row>
    <row r="6" spans="2:13">
      <c r="B6" s="15"/>
      <c r="C6" s="3" t="s">
        <v>21</v>
      </c>
      <c r="D6" s="73">
        <v>10</v>
      </c>
      <c r="E6" s="3" t="s">
        <v>22</v>
      </c>
      <c r="F6" s="3"/>
      <c r="G6" s="3"/>
      <c r="H6" s="16"/>
      <c r="I6" s="13"/>
      <c r="J6" t="s">
        <v>141</v>
      </c>
      <c r="M6" s="3"/>
    </row>
    <row r="7" spans="2:13">
      <c r="B7" s="15"/>
      <c r="C7" s="3" t="s">
        <v>23</v>
      </c>
      <c r="D7" s="74">
        <v>11</v>
      </c>
      <c r="E7" s="3" t="s">
        <v>24</v>
      </c>
      <c r="F7" s="3"/>
      <c r="G7" s="3"/>
      <c r="H7" s="16"/>
      <c r="I7" s="13"/>
      <c r="J7" t="s">
        <v>142</v>
      </c>
      <c r="M7" s="3"/>
    </row>
    <row r="8" spans="2:13" ht="14" thickBot="1">
      <c r="B8" s="25"/>
      <c r="C8" s="20" t="s">
        <v>143</v>
      </c>
      <c r="D8" s="21" t="str" cm="1">
        <f t="array" ref="D8">_xlfn.IFS(D7&lt;12,"一档",D7=J4,"一档",D7=J5,"一档",D7=J6,"二档",D7=J7,"二档")</f>
        <v>一档</v>
      </c>
      <c r="E8" s="20" t="s">
        <v>28</v>
      </c>
      <c r="F8" s="20"/>
      <c r="G8" s="20"/>
      <c r="H8" s="26"/>
      <c r="I8" s="13"/>
      <c r="M8" s="3"/>
    </row>
    <row r="9" spans="2:13" ht="14" thickBot="1">
      <c r="B9" s="7"/>
      <c r="C9" s="3"/>
      <c r="D9" s="3"/>
      <c r="E9" s="3"/>
      <c r="F9" s="3"/>
      <c r="G9" s="3"/>
      <c r="M9" s="3"/>
    </row>
    <row r="10" spans="2:13">
      <c r="B10" s="9" t="s">
        <v>42</v>
      </c>
      <c r="C10" s="10" t="s">
        <v>43</v>
      </c>
      <c r="D10" s="2">
        <f t="array" ref="D10:D11">_xlfn._xlws.FILTER($D$16:$D$74,($B$16:$B$74=$D$3)*($C$16:$C$74=$F$3))</f>
        <v>1401</v>
      </c>
      <c r="E10" s="10" t="s">
        <v>44</v>
      </c>
      <c r="F10" s="2" cm="1">
        <f t="array" ref="F10">_xlfn.SINGLE(_xlfn._xlws.FILTER($F$16:$F$74,($B$16:$B$74=$D$3)*($C$16:$C$74=$F$3)*($E$16:$E$74=$D$8)))</f>
        <v>1375.3910000000001</v>
      </c>
      <c r="G10" s="10" t="s">
        <v>45</v>
      </c>
      <c r="H10" s="1">
        <f t="array" ref="H10:H11">_xlfn._xlws.FILTER($G$16:$G$74,($B$16:$B$74=$D$3)*($C$16:$C$74=$F$3))</f>
        <v>434.334</v>
      </c>
      <c r="M10" s="7"/>
    </row>
    <row r="11" spans="2:13">
      <c r="B11" s="17"/>
      <c r="C11" s="3"/>
      <c r="D11" s="34">
        <v>1401</v>
      </c>
      <c r="E11" s="35"/>
      <c r="F11" s="3"/>
      <c r="G11" s="35"/>
      <c r="H11" s="36">
        <v>434.334</v>
      </c>
      <c r="M11" s="3"/>
    </row>
    <row r="12" spans="2:13" ht="14" thickBot="1">
      <c r="B12" s="19"/>
      <c r="C12" s="38" t="s">
        <v>154</v>
      </c>
      <c r="D12" s="39">
        <f>D10*2*D6+F10*(D5-D6)+H10*D5</f>
        <v>122849.59</v>
      </c>
      <c r="E12" s="40"/>
      <c r="F12" s="38" t="s">
        <v>155</v>
      </c>
      <c r="G12" s="39">
        <f>D12*H12</f>
        <v>104422.15149999999</v>
      </c>
      <c r="H12" s="109">
        <v>0.85</v>
      </c>
      <c r="M12" s="3"/>
    </row>
    <row r="13" spans="2:13">
      <c r="B13" s="3"/>
      <c r="C13" s="3"/>
      <c r="D13" s="3"/>
      <c r="E13" s="3"/>
      <c r="F13" s="3"/>
      <c r="G13" s="3"/>
      <c r="M13" s="3"/>
    </row>
    <row r="14" spans="2:13">
      <c r="B14" s="3"/>
      <c r="C14" s="3"/>
      <c r="D14" s="3"/>
      <c r="E14" s="3"/>
      <c r="F14" s="3" t="s">
        <v>60</v>
      </c>
      <c r="G14">
        <v>7.2389000000000001</v>
      </c>
      <c r="M14" s="3"/>
    </row>
    <row r="15" spans="2:13">
      <c r="B15" s="43" t="s">
        <v>64</v>
      </c>
      <c r="C15" s="3"/>
      <c r="D15" s="3"/>
      <c r="E15" s="3"/>
      <c r="F15" s="3"/>
      <c r="G15" s="3"/>
      <c r="H15" s="44"/>
      <c r="I15" s="61" t="s">
        <v>65</v>
      </c>
      <c r="J15" s="60"/>
      <c r="M15" s="7"/>
    </row>
    <row r="16" spans="2:13">
      <c r="B16" s="7" t="s">
        <v>4</v>
      </c>
      <c r="C16" s="7" t="s">
        <v>6</v>
      </c>
      <c r="D16" s="7" t="s">
        <v>43</v>
      </c>
      <c r="E16" s="7" t="s">
        <v>35</v>
      </c>
      <c r="F16" s="7" t="s">
        <v>44</v>
      </c>
      <c r="G16" s="7" t="s">
        <v>45</v>
      </c>
      <c r="I16" s="45" t="s">
        <v>27</v>
      </c>
      <c r="J16" s="45" t="s">
        <v>71</v>
      </c>
      <c r="M16" s="7"/>
    </row>
    <row r="17" spans="2:13">
      <c r="B17" s="3" t="s">
        <v>5</v>
      </c>
      <c r="C17" s="3" t="s">
        <v>9</v>
      </c>
      <c r="D17" s="37">
        <v>75</v>
      </c>
      <c r="E17" s="3" t="s">
        <v>27</v>
      </c>
      <c r="F17" s="37">
        <f>$G$14*$I$19</f>
        <v>1375.3910000000001</v>
      </c>
      <c r="G17" s="37">
        <v>300</v>
      </c>
      <c r="I17" s="13">
        <v>330</v>
      </c>
      <c r="J17" s="13">
        <v>500</v>
      </c>
      <c r="M17" s="3"/>
    </row>
    <row r="18" spans="2:13">
      <c r="B18" s="3" t="s">
        <v>5</v>
      </c>
      <c r="C18" s="3" t="s">
        <v>9</v>
      </c>
      <c r="D18" s="37">
        <v>75</v>
      </c>
      <c r="E18" s="3" t="s">
        <v>71</v>
      </c>
      <c r="F18" s="37">
        <f>$G$14*$J$19</f>
        <v>2026.8920000000001</v>
      </c>
      <c r="G18" s="37">
        <v>300</v>
      </c>
      <c r="I18" s="13">
        <v>250</v>
      </c>
      <c r="J18" s="13">
        <v>370</v>
      </c>
      <c r="M18" s="3"/>
    </row>
    <row r="19" spans="2:13">
      <c r="B19" s="3" t="s">
        <v>5</v>
      </c>
      <c r="C19" s="3" t="s">
        <v>84</v>
      </c>
      <c r="D19" s="37">
        <v>11400</v>
      </c>
      <c r="E19" s="3" t="s">
        <v>27</v>
      </c>
      <c r="F19" s="37">
        <f>$G$14*$I$17</f>
        <v>2388.837</v>
      </c>
      <c r="G19" s="37">
        <f>$G$14*$J$21</f>
        <v>542.91750000000002</v>
      </c>
      <c r="I19" s="13">
        <v>190</v>
      </c>
      <c r="J19" s="13">
        <v>280</v>
      </c>
      <c r="M19" s="3"/>
    </row>
    <row r="20" spans="2:13">
      <c r="B20" s="3" t="s">
        <v>5</v>
      </c>
      <c r="C20" s="3" t="s">
        <v>84</v>
      </c>
      <c r="D20" s="37">
        <v>11400</v>
      </c>
      <c r="E20" s="3" t="s">
        <v>71</v>
      </c>
      <c r="F20" s="37">
        <f>$G$14*$J$17</f>
        <v>3619.4500000000003</v>
      </c>
      <c r="G20" s="37">
        <f>$G$14*$J$21</f>
        <v>542.91750000000002</v>
      </c>
      <c r="I20" s="61" t="s">
        <v>89</v>
      </c>
      <c r="J20" s="60"/>
      <c r="M20" s="3"/>
    </row>
    <row r="21" spans="2:13">
      <c r="B21" s="3" t="s">
        <v>5</v>
      </c>
      <c r="C21" s="3" t="s">
        <v>77</v>
      </c>
      <c r="D21" s="37">
        <v>2049</v>
      </c>
      <c r="E21" s="3" t="s">
        <v>27</v>
      </c>
      <c r="F21" s="37">
        <f>$G$14*$I$19</f>
        <v>1375.3910000000001</v>
      </c>
      <c r="G21" s="37">
        <f t="shared" ref="G21:G30" si="0">$G$14*$J$22</f>
        <v>434.334</v>
      </c>
      <c r="I21" s="45"/>
      <c r="J21" s="13">
        <v>75</v>
      </c>
      <c r="M21" s="3"/>
    </row>
    <row r="22" spans="2:13">
      <c r="B22" s="3" t="s">
        <v>5</v>
      </c>
      <c r="C22" s="3" t="s">
        <v>77</v>
      </c>
      <c r="D22" s="37">
        <v>2049</v>
      </c>
      <c r="E22" s="3" t="s">
        <v>71</v>
      </c>
      <c r="F22" s="37">
        <f>$G$14*$J$19</f>
        <v>2026.8920000000001</v>
      </c>
      <c r="G22" s="37">
        <f t="shared" si="0"/>
        <v>434.334</v>
      </c>
      <c r="I22" s="45"/>
      <c r="J22" s="13">
        <v>60</v>
      </c>
      <c r="M22" s="3"/>
    </row>
    <row r="23" spans="2:13">
      <c r="B23" s="3" t="s">
        <v>5</v>
      </c>
      <c r="C23" s="3" t="s">
        <v>90</v>
      </c>
      <c r="D23" s="37">
        <v>2709</v>
      </c>
      <c r="E23" s="3" t="s">
        <v>27</v>
      </c>
      <c r="F23" s="37">
        <f>$G$14*$I$18</f>
        <v>1809.7250000000001</v>
      </c>
      <c r="G23" s="37">
        <f t="shared" si="0"/>
        <v>434.334</v>
      </c>
      <c r="M23" s="3"/>
    </row>
    <row r="24" spans="2:13">
      <c r="B24" s="3" t="s">
        <v>5</v>
      </c>
      <c r="C24" s="3" t="s">
        <v>90</v>
      </c>
      <c r="D24" s="37">
        <v>2709</v>
      </c>
      <c r="E24" s="3" t="s">
        <v>71</v>
      </c>
      <c r="F24" s="37">
        <f>$G$14*$J$18</f>
        <v>2678.393</v>
      </c>
      <c r="G24" s="37">
        <f t="shared" si="0"/>
        <v>434.334</v>
      </c>
      <c r="M24" s="3"/>
    </row>
    <row r="25" spans="2:13">
      <c r="B25" s="3" t="s">
        <v>5</v>
      </c>
      <c r="C25" s="3" t="s">
        <v>7</v>
      </c>
      <c r="D25" s="37">
        <v>1401</v>
      </c>
      <c r="E25" s="3" t="s">
        <v>27</v>
      </c>
      <c r="F25" s="37">
        <f>$G$14*$I$19</f>
        <v>1375.3910000000001</v>
      </c>
      <c r="G25" s="37">
        <f t="shared" si="0"/>
        <v>434.334</v>
      </c>
      <c r="M25" s="3"/>
    </row>
    <row r="26" spans="2:13">
      <c r="B26" s="3" t="s">
        <v>5</v>
      </c>
      <c r="C26" s="3" t="s">
        <v>7</v>
      </c>
      <c r="D26" s="37">
        <v>1401</v>
      </c>
      <c r="E26" s="3" t="s">
        <v>71</v>
      </c>
      <c r="F26" s="37">
        <f>$G$14*$J$19</f>
        <v>2026.8920000000001</v>
      </c>
      <c r="G26" s="37">
        <f t="shared" si="0"/>
        <v>434.334</v>
      </c>
      <c r="M26" s="3"/>
    </row>
    <row r="27" spans="2:13">
      <c r="B27" s="3" t="s">
        <v>5</v>
      </c>
      <c r="C27" s="3" t="s">
        <v>107</v>
      </c>
      <c r="D27" s="37">
        <v>2215</v>
      </c>
      <c r="E27" s="3" t="s">
        <v>27</v>
      </c>
      <c r="F27" s="37">
        <f>$G$14*$I$18</f>
        <v>1809.7250000000001</v>
      </c>
      <c r="G27" s="37">
        <f t="shared" si="0"/>
        <v>434.334</v>
      </c>
      <c r="M27" s="3"/>
    </row>
    <row r="28" spans="2:13">
      <c r="B28" s="3" t="s">
        <v>5</v>
      </c>
      <c r="C28" s="3" t="s">
        <v>107</v>
      </c>
      <c r="D28" s="37">
        <v>2215</v>
      </c>
      <c r="E28" s="3" t="s">
        <v>71</v>
      </c>
      <c r="F28" s="37">
        <f>$G$14*$J$18</f>
        <v>2678.393</v>
      </c>
      <c r="G28" s="37">
        <f t="shared" si="0"/>
        <v>434.334</v>
      </c>
      <c r="M28" s="3"/>
    </row>
    <row r="29" spans="2:13">
      <c r="B29" s="3" t="s">
        <v>5</v>
      </c>
      <c r="C29" s="3" t="s">
        <v>111</v>
      </c>
      <c r="D29" s="37">
        <v>3179</v>
      </c>
      <c r="E29" s="3" t="s">
        <v>27</v>
      </c>
      <c r="F29" s="37">
        <f>$G$14*$I$18</f>
        <v>1809.7250000000001</v>
      </c>
      <c r="G29" s="37">
        <f t="shared" si="0"/>
        <v>434.334</v>
      </c>
      <c r="M29" s="3"/>
    </row>
    <row r="30" spans="2:13">
      <c r="B30" s="3" t="s">
        <v>5</v>
      </c>
      <c r="C30" s="3" t="s">
        <v>111</v>
      </c>
      <c r="D30" s="37">
        <v>3179</v>
      </c>
      <c r="E30" s="3" t="s">
        <v>71</v>
      </c>
      <c r="F30" s="37">
        <f>$G$14*$J$18</f>
        <v>2678.393</v>
      </c>
      <c r="G30" s="37">
        <f t="shared" si="0"/>
        <v>434.334</v>
      </c>
      <c r="M30" s="3"/>
    </row>
    <row r="31" spans="2:13">
      <c r="B31" s="3" t="s">
        <v>5</v>
      </c>
      <c r="C31" s="3" t="s">
        <v>113</v>
      </c>
      <c r="D31" s="37">
        <v>4686</v>
      </c>
      <c r="E31" s="3" t="s">
        <v>27</v>
      </c>
      <c r="F31" s="37">
        <f>$G$14*$I$17</f>
        <v>2388.837</v>
      </c>
      <c r="G31" s="37">
        <f>$G$14*$J$21</f>
        <v>542.91750000000002</v>
      </c>
      <c r="M31" s="3"/>
    </row>
    <row r="32" spans="2:13">
      <c r="B32" s="3" t="s">
        <v>5</v>
      </c>
      <c r="C32" s="3" t="s">
        <v>113</v>
      </c>
      <c r="D32" s="37">
        <v>4686</v>
      </c>
      <c r="E32" s="3" t="s">
        <v>71</v>
      </c>
      <c r="F32" s="37">
        <f>$G$14*$J$17</f>
        <v>3619.4500000000003</v>
      </c>
      <c r="G32" s="37">
        <f>$G$14*$J$21</f>
        <v>542.91750000000002</v>
      </c>
      <c r="M32" s="3"/>
    </row>
    <row r="33" spans="2:13">
      <c r="B33" s="3" t="s">
        <v>5</v>
      </c>
      <c r="C33" s="3" t="s">
        <v>116</v>
      </c>
      <c r="D33" s="37">
        <v>5287</v>
      </c>
      <c r="E33" s="3" t="s">
        <v>27</v>
      </c>
      <c r="F33" s="37">
        <f>$G$14*$I$17</f>
        <v>2388.837</v>
      </c>
      <c r="G33" s="37">
        <f>$G$14*$J$21</f>
        <v>542.91750000000002</v>
      </c>
      <c r="M33" s="3"/>
    </row>
    <row r="34" spans="2:13">
      <c r="B34" s="3" t="s">
        <v>5</v>
      </c>
      <c r="C34" s="3" t="s">
        <v>116</v>
      </c>
      <c r="D34" s="37">
        <v>5287</v>
      </c>
      <c r="E34" s="3" t="s">
        <v>71</v>
      </c>
      <c r="F34" s="37">
        <f>$G$14*$J$17</f>
        <v>3619.4500000000003</v>
      </c>
      <c r="G34" s="37">
        <f>$G$14*$J$21</f>
        <v>542.91750000000002</v>
      </c>
      <c r="M34" s="3"/>
    </row>
    <row r="35" spans="2:13">
      <c r="B35" s="3" t="s">
        <v>5</v>
      </c>
      <c r="C35" s="3" t="s">
        <v>112</v>
      </c>
      <c r="D35" s="37">
        <v>2139</v>
      </c>
      <c r="E35" s="3" t="s">
        <v>27</v>
      </c>
      <c r="F35" s="37">
        <f>$G$14*$I$19</f>
        <v>1375.3910000000001</v>
      </c>
      <c r="G35" s="37">
        <f>$G$14*$J$22</f>
        <v>434.334</v>
      </c>
      <c r="M35" s="3"/>
    </row>
    <row r="36" spans="2:13">
      <c r="B36" s="3" t="s">
        <v>5</v>
      </c>
      <c r="C36" s="3" t="s">
        <v>112</v>
      </c>
      <c r="D36" s="37">
        <v>2139</v>
      </c>
      <c r="E36" s="3" t="s">
        <v>71</v>
      </c>
      <c r="F36" s="37">
        <f>$G$14*$J$19</f>
        <v>2026.8920000000001</v>
      </c>
      <c r="G36" s="37">
        <f>$G$14*$J$22</f>
        <v>434.334</v>
      </c>
      <c r="M36" s="3"/>
    </row>
    <row r="37" spans="2:13">
      <c r="B37" s="3" t="s">
        <v>5</v>
      </c>
      <c r="C37" s="3" t="s">
        <v>117</v>
      </c>
      <c r="D37" s="37">
        <v>1659</v>
      </c>
      <c r="E37" s="3" t="s">
        <v>27</v>
      </c>
      <c r="F37" s="37">
        <f>$G$14*$I$19</f>
        <v>1375.3910000000001</v>
      </c>
      <c r="G37" s="37">
        <f>$G$14*$J$22</f>
        <v>434.334</v>
      </c>
      <c r="M37" s="3"/>
    </row>
    <row r="38" spans="2:13">
      <c r="B38" s="3" t="s">
        <v>5</v>
      </c>
      <c r="C38" s="3" t="s">
        <v>117</v>
      </c>
      <c r="D38" s="37">
        <v>1659</v>
      </c>
      <c r="E38" s="3" t="s">
        <v>71</v>
      </c>
      <c r="F38" s="37">
        <f>$G$14*$J$19</f>
        <v>2026.8920000000001</v>
      </c>
      <c r="G38" s="37">
        <f>$G$14*$J$22</f>
        <v>434.334</v>
      </c>
      <c r="M38" s="3"/>
    </row>
    <row r="39" spans="2:13">
      <c r="B39" s="3" t="s">
        <v>5</v>
      </c>
      <c r="C39" s="3" t="s">
        <v>120</v>
      </c>
      <c r="D39" s="37">
        <v>10719</v>
      </c>
      <c r="E39" s="3" t="s">
        <v>27</v>
      </c>
      <c r="F39" s="37">
        <f>$G$14*$I$17</f>
        <v>2388.837</v>
      </c>
      <c r="G39" s="37">
        <f>$G$14*$J$21</f>
        <v>542.91750000000002</v>
      </c>
      <c r="M39" s="3"/>
    </row>
    <row r="40" spans="2:13">
      <c r="B40" s="3" t="s">
        <v>5</v>
      </c>
      <c r="C40" s="3" t="s">
        <v>120</v>
      </c>
      <c r="D40" s="37">
        <v>10719</v>
      </c>
      <c r="E40" s="3" t="s">
        <v>71</v>
      </c>
      <c r="F40" s="37">
        <f>$G$14*$J$17</f>
        <v>3619.4500000000003</v>
      </c>
      <c r="G40" s="37">
        <f>$G$14*$J$21</f>
        <v>542.91750000000002</v>
      </c>
      <c r="M40" s="3"/>
    </row>
    <row r="41" spans="2:13">
      <c r="B41" s="3" t="s">
        <v>5</v>
      </c>
      <c r="C41" s="3" t="s">
        <v>124</v>
      </c>
      <c r="D41" s="37">
        <v>6890</v>
      </c>
      <c r="E41" s="3" t="s">
        <v>27</v>
      </c>
      <c r="F41" s="37">
        <f>$G$14*$I$18</f>
        <v>1809.7250000000001</v>
      </c>
      <c r="G41" s="37">
        <f>$G$14*$J$22</f>
        <v>434.334</v>
      </c>
      <c r="M41" s="3"/>
    </row>
    <row r="42" spans="2:13">
      <c r="B42" s="3" t="s">
        <v>5</v>
      </c>
      <c r="C42" s="3" t="s">
        <v>124</v>
      </c>
      <c r="D42" s="37">
        <v>6890</v>
      </c>
      <c r="E42" s="3" t="s">
        <v>71</v>
      </c>
      <c r="F42" s="37">
        <f>$G$14*$J$18</f>
        <v>2678.393</v>
      </c>
      <c r="G42" s="37">
        <f>$G$14*$J$22</f>
        <v>434.334</v>
      </c>
      <c r="M42" s="3"/>
    </row>
    <row r="43" spans="2:13">
      <c r="B43" s="3" t="s">
        <v>5</v>
      </c>
      <c r="C43" s="3" t="s">
        <v>125</v>
      </c>
      <c r="D43" s="37">
        <v>2219</v>
      </c>
      <c r="E43" s="3" t="s">
        <v>27</v>
      </c>
      <c r="F43" s="37">
        <f>$G$14*$I$18</f>
        <v>1809.7250000000001</v>
      </c>
      <c r="G43" s="37">
        <f>$G$14*$J$22</f>
        <v>434.334</v>
      </c>
      <c r="M43" s="3"/>
    </row>
    <row r="44" spans="2:13">
      <c r="B44" s="3" t="s">
        <v>5</v>
      </c>
      <c r="C44" s="3" t="s">
        <v>125</v>
      </c>
      <c r="D44" s="37">
        <v>2219</v>
      </c>
      <c r="E44" s="3" t="s">
        <v>71</v>
      </c>
      <c r="F44" s="37">
        <f>$G$14*$J$18</f>
        <v>2678.393</v>
      </c>
      <c r="G44" s="37">
        <f>$G$14*$J$22</f>
        <v>434.334</v>
      </c>
      <c r="M44" s="3"/>
    </row>
    <row r="45" spans="2:13">
      <c r="B45" s="3" t="s">
        <v>126</v>
      </c>
      <c r="C45" s="3" t="s">
        <v>9</v>
      </c>
      <c r="D45" s="37">
        <v>1255</v>
      </c>
      <c r="E45" s="3" t="s">
        <v>27</v>
      </c>
      <c r="F45" s="37">
        <f>$G$14*$I$19</f>
        <v>1375.3910000000001</v>
      </c>
      <c r="G45" s="37">
        <v>300</v>
      </c>
      <c r="M45" s="3"/>
    </row>
    <row r="46" spans="2:13">
      <c r="B46" s="3" t="s">
        <v>126</v>
      </c>
      <c r="C46" s="3" t="s">
        <v>9</v>
      </c>
      <c r="D46" s="37">
        <v>1255</v>
      </c>
      <c r="E46" s="3" t="s">
        <v>71</v>
      </c>
      <c r="F46" s="37">
        <f>$G$14*$J$19</f>
        <v>2026.8920000000001</v>
      </c>
      <c r="G46" s="37">
        <v>300</v>
      </c>
      <c r="M46" s="3"/>
    </row>
    <row r="47" spans="2:13">
      <c r="B47" s="3" t="s">
        <v>126</v>
      </c>
      <c r="C47" s="3" t="s">
        <v>84</v>
      </c>
      <c r="D47" s="37">
        <v>13819</v>
      </c>
      <c r="E47" s="3" t="s">
        <v>27</v>
      </c>
      <c r="F47" s="37">
        <f>$G$14*$I$17</f>
        <v>2388.837</v>
      </c>
      <c r="G47" s="37">
        <f>$G$14*$J$21</f>
        <v>542.91750000000002</v>
      </c>
      <c r="M47" s="3"/>
    </row>
    <row r="48" spans="2:13">
      <c r="B48" s="3" t="s">
        <v>126</v>
      </c>
      <c r="C48" s="3" t="s">
        <v>84</v>
      </c>
      <c r="D48" s="37">
        <v>13819</v>
      </c>
      <c r="E48" s="3" t="s">
        <v>71</v>
      </c>
      <c r="F48" s="37">
        <f>$G$14*$J$17</f>
        <v>3619.4500000000003</v>
      </c>
      <c r="G48" s="37">
        <f>$G$14*$J$21</f>
        <v>542.91750000000002</v>
      </c>
      <c r="M48" s="3"/>
    </row>
    <row r="49" spans="2:13">
      <c r="B49" s="3" t="s">
        <v>126</v>
      </c>
      <c r="C49" s="3" t="s">
        <v>77</v>
      </c>
      <c r="D49" s="37">
        <v>2547</v>
      </c>
      <c r="E49" s="3" t="s">
        <v>27</v>
      </c>
      <c r="F49" s="37">
        <f>$G$14*$I$19</f>
        <v>1375.3910000000001</v>
      </c>
      <c r="G49" s="37">
        <f t="shared" ref="G49:G58" si="1">$G$14*$J$22</f>
        <v>434.334</v>
      </c>
      <c r="M49" s="3"/>
    </row>
    <row r="50" spans="2:13">
      <c r="B50" s="3" t="s">
        <v>126</v>
      </c>
      <c r="C50" s="3" t="s">
        <v>77</v>
      </c>
      <c r="D50" s="37">
        <v>2547</v>
      </c>
      <c r="E50" s="3" t="s">
        <v>71</v>
      </c>
      <c r="F50" s="37">
        <f>$G$14*$J$19</f>
        <v>2026.8920000000001</v>
      </c>
      <c r="G50" s="37">
        <f t="shared" si="1"/>
        <v>434.334</v>
      </c>
      <c r="M50" s="3"/>
    </row>
    <row r="51" spans="2:13">
      <c r="B51" s="3" t="s">
        <v>126</v>
      </c>
      <c r="C51" s="3" t="s">
        <v>90</v>
      </c>
      <c r="D51" s="37">
        <v>2589</v>
      </c>
      <c r="E51" s="3" t="s">
        <v>27</v>
      </c>
      <c r="F51" s="37">
        <f>$G$14*$I$18</f>
        <v>1809.7250000000001</v>
      </c>
      <c r="G51" s="37">
        <f t="shared" si="1"/>
        <v>434.334</v>
      </c>
      <c r="M51" s="3"/>
    </row>
    <row r="52" spans="2:13">
      <c r="B52" s="3" t="s">
        <v>126</v>
      </c>
      <c r="C52" s="3" t="s">
        <v>90</v>
      </c>
      <c r="D52" s="37">
        <v>2589</v>
      </c>
      <c r="E52" s="3" t="s">
        <v>71</v>
      </c>
      <c r="F52" s="37">
        <f>$G$14*$J$18</f>
        <v>2678.393</v>
      </c>
      <c r="G52" s="37">
        <f t="shared" si="1"/>
        <v>434.334</v>
      </c>
      <c r="M52" s="3"/>
    </row>
    <row r="53" spans="2:13">
      <c r="B53" s="3" t="s">
        <v>126</v>
      </c>
      <c r="C53" s="3" t="s">
        <v>7</v>
      </c>
      <c r="D53" s="37">
        <v>4681</v>
      </c>
      <c r="E53" s="3" t="s">
        <v>27</v>
      </c>
      <c r="F53" s="37">
        <f>$G$14*$I$19</f>
        <v>1375.3910000000001</v>
      </c>
      <c r="G53" s="37">
        <f t="shared" si="1"/>
        <v>434.334</v>
      </c>
      <c r="M53" s="3"/>
    </row>
    <row r="54" spans="2:13">
      <c r="B54" s="3" t="s">
        <v>126</v>
      </c>
      <c r="C54" s="3" t="s">
        <v>7</v>
      </c>
      <c r="D54" s="37">
        <v>4681</v>
      </c>
      <c r="E54" s="3" t="s">
        <v>71</v>
      </c>
      <c r="F54" s="37">
        <f>$G$14*$J$19</f>
        <v>2026.8920000000001</v>
      </c>
      <c r="G54" s="37">
        <f t="shared" si="1"/>
        <v>434.334</v>
      </c>
      <c r="M54" s="3"/>
    </row>
    <row r="55" spans="2:13">
      <c r="B55" s="3" t="s">
        <v>126</v>
      </c>
      <c r="C55" s="3" t="s">
        <v>107</v>
      </c>
      <c r="D55" s="37">
        <v>1690</v>
      </c>
      <c r="E55" s="3" t="s">
        <v>27</v>
      </c>
      <c r="F55" s="37">
        <f>$G$14*$I$18</f>
        <v>1809.7250000000001</v>
      </c>
      <c r="G55" s="37">
        <f t="shared" si="1"/>
        <v>434.334</v>
      </c>
      <c r="M55" s="3"/>
    </row>
    <row r="56" spans="2:13">
      <c r="B56" s="3" t="s">
        <v>126</v>
      </c>
      <c r="C56" s="3" t="s">
        <v>107</v>
      </c>
      <c r="D56" s="37">
        <v>1690</v>
      </c>
      <c r="E56" s="3" t="s">
        <v>71</v>
      </c>
      <c r="F56" s="37">
        <f>$G$14*$J$18</f>
        <v>2678.393</v>
      </c>
      <c r="G56" s="37">
        <f t="shared" si="1"/>
        <v>434.334</v>
      </c>
      <c r="M56" s="3"/>
    </row>
    <row r="57" spans="2:13">
      <c r="B57" s="3" t="s">
        <v>126</v>
      </c>
      <c r="C57" s="3" t="s">
        <v>111</v>
      </c>
      <c r="D57" s="37">
        <v>3440</v>
      </c>
      <c r="E57" s="3" t="s">
        <v>27</v>
      </c>
      <c r="F57" s="37">
        <f>$G$14*$I$18</f>
        <v>1809.7250000000001</v>
      </c>
      <c r="G57" s="37">
        <f t="shared" si="1"/>
        <v>434.334</v>
      </c>
      <c r="M57" s="3"/>
    </row>
    <row r="58" spans="2:13">
      <c r="B58" s="3" t="s">
        <v>126</v>
      </c>
      <c r="C58" s="3" t="s">
        <v>111</v>
      </c>
      <c r="D58" s="37">
        <v>3440</v>
      </c>
      <c r="E58" s="3" t="s">
        <v>71</v>
      </c>
      <c r="F58" s="37">
        <f>$G$14*$J$18</f>
        <v>2678.393</v>
      </c>
      <c r="G58" s="37">
        <f t="shared" si="1"/>
        <v>434.334</v>
      </c>
      <c r="M58" s="3"/>
    </row>
    <row r="59" spans="2:13">
      <c r="B59" s="3" t="s">
        <v>126</v>
      </c>
      <c r="C59" s="3" t="s">
        <v>113</v>
      </c>
      <c r="D59" s="37">
        <v>6448</v>
      </c>
      <c r="E59" s="3" t="s">
        <v>27</v>
      </c>
      <c r="F59" s="37">
        <f>$G$14*$I$17</f>
        <v>2388.837</v>
      </c>
      <c r="G59" s="37">
        <f>$G$14*$J$21</f>
        <v>542.91750000000002</v>
      </c>
      <c r="M59" s="3"/>
    </row>
    <row r="60" spans="2:13">
      <c r="B60" s="3" t="s">
        <v>126</v>
      </c>
      <c r="C60" s="3" t="s">
        <v>113</v>
      </c>
      <c r="D60" s="37">
        <v>6448</v>
      </c>
      <c r="E60" s="3" t="s">
        <v>71</v>
      </c>
      <c r="F60" s="37">
        <f>$G$14*$J$17</f>
        <v>3619.4500000000003</v>
      </c>
      <c r="G60" s="37">
        <f>$G$14*$J$21</f>
        <v>542.91750000000002</v>
      </c>
      <c r="M60" s="3"/>
    </row>
    <row r="61" spans="2:13">
      <c r="B61" s="3" t="s">
        <v>126</v>
      </c>
      <c r="C61" s="3" t="s">
        <v>116</v>
      </c>
      <c r="D61" s="37">
        <v>3988</v>
      </c>
      <c r="E61" s="3" t="s">
        <v>27</v>
      </c>
      <c r="F61" s="37">
        <f>$G$14*$I$17</f>
        <v>2388.837</v>
      </c>
      <c r="G61" s="37">
        <f>$G$14*$J$21</f>
        <v>542.91750000000002</v>
      </c>
      <c r="M61" s="3"/>
    </row>
    <row r="62" spans="2:13">
      <c r="B62" s="3" t="s">
        <v>126</v>
      </c>
      <c r="C62" s="3" t="s">
        <v>116</v>
      </c>
      <c r="D62" s="37">
        <v>3988</v>
      </c>
      <c r="E62" s="3" t="s">
        <v>71</v>
      </c>
      <c r="F62" s="37">
        <f>$G$14*$J$17</f>
        <v>3619.4500000000003</v>
      </c>
      <c r="G62" s="37">
        <f>$G$14*$J$21</f>
        <v>542.91750000000002</v>
      </c>
      <c r="M62" s="3"/>
    </row>
    <row r="63" spans="2:13">
      <c r="B63" s="3" t="s">
        <v>126</v>
      </c>
      <c r="C63" s="3" t="s">
        <v>112</v>
      </c>
      <c r="D63" s="37">
        <v>4140</v>
      </c>
      <c r="E63" s="3" t="s">
        <v>27</v>
      </c>
      <c r="F63" s="37">
        <f>$G$14*$I$19</f>
        <v>1375.3910000000001</v>
      </c>
      <c r="G63" s="37">
        <f>$G$14*$J$22</f>
        <v>434.334</v>
      </c>
      <c r="M63" s="3"/>
    </row>
    <row r="64" spans="2:13">
      <c r="B64" s="3" t="s">
        <v>126</v>
      </c>
      <c r="C64" s="3" t="s">
        <v>112</v>
      </c>
      <c r="D64" s="37">
        <v>4140</v>
      </c>
      <c r="E64" s="3" t="s">
        <v>71</v>
      </c>
      <c r="F64" s="37">
        <f>$G$14*$J$19</f>
        <v>2026.8920000000001</v>
      </c>
      <c r="G64" s="37">
        <f>$G$14*$J$22</f>
        <v>434.334</v>
      </c>
      <c r="M64" s="3"/>
    </row>
    <row r="65" spans="2:13">
      <c r="B65" s="3" t="s">
        <v>126</v>
      </c>
      <c r="C65" s="3" t="s">
        <v>117</v>
      </c>
      <c r="D65" s="37">
        <v>2460</v>
      </c>
      <c r="E65" s="3" t="s">
        <v>27</v>
      </c>
      <c r="F65" s="37">
        <f>$G$14*$I$19</f>
        <v>1375.3910000000001</v>
      </c>
      <c r="G65" s="37">
        <f>$G$14*$J$22</f>
        <v>434.334</v>
      </c>
      <c r="M65" s="3"/>
    </row>
    <row r="66" spans="2:13">
      <c r="B66" s="3" t="s">
        <v>126</v>
      </c>
      <c r="C66" s="3" t="s">
        <v>117</v>
      </c>
      <c r="D66" s="37">
        <v>2460</v>
      </c>
      <c r="E66" s="3" t="s">
        <v>71</v>
      </c>
      <c r="F66" s="37">
        <f>$G$14*$J$19</f>
        <v>2026.8920000000001</v>
      </c>
      <c r="G66" s="37">
        <f>$G$14*$J$22</f>
        <v>434.334</v>
      </c>
      <c r="M66" s="3"/>
    </row>
    <row r="67" spans="2:13">
      <c r="B67" s="3" t="s">
        <v>126</v>
      </c>
      <c r="C67" s="3" t="s">
        <v>120</v>
      </c>
      <c r="D67" s="37">
        <v>10200</v>
      </c>
      <c r="E67" s="3" t="s">
        <v>27</v>
      </c>
      <c r="F67" s="37">
        <f>$G$14*$I$17</f>
        <v>2388.837</v>
      </c>
      <c r="G67" s="37">
        <f>$G$14*$J$21</f>
        <v>542.91750000000002</v>
      </c>
      <c r="M67" s="3"/>
    </row>
    <row r="68" spans="2:13">
      <c r="B68" s="3" t="s">
        <v>126</v>
      </c>
      <c r="C68" s="3" t="s">
        <v>120</v>
      </c>
      <c r="D68" s="37">
        <v>10200</v>
      </c>
      <c r="E68" s="3" t="s">
        <v>71</v>
      </c>
      <c r="F68" s="37">
        <f>$G$14*$J$17</f>
        <v>3619.4500000000003</v>
      </c>
      <c r="G68" s="37">
        <f>$G$14*$J$21</f>
        <v>542.91750000000002</v>
      </c>
      <c r="M68" s="3"/>
    </row>
    <row r="69" spans="2:13">
      <c r="B69" s="3" t="s">
        <v>126</v>
      </c>
      <c r="C69" s="3" t="s">
        <v>124</v>
      </c>
      <c r="D69" s="37">
        <v>9160</v>
      </c>
      <c r="E69" s="3" t="s">
        <v>27</v>
      </c>
      <c r="F69" s="37">
        <f>$G$14*$I$18</f>
        <v>1809.7250000000001</v>
      </c>
      <c r="G69" s="37">
        <f>$G$14*$J$22</f>
        <v>434.334</v>
      </c>
      <c r="M69" s="3"/>
    </row>
    <row r="70" spans="2:13">
      <c r="B70" s="3" t="s">
        <v>126</v>
      </c>
      <c r="C70" s="3" t="s">
        <v>124</v>
      </c>
      <c r="D70" s="37">
        <v>9160</v>
      </c>
      <c r="E70" s="3" t="s">
        <v>71</v>
      </c>
      <c r="F70" s="37">
        <f>$G$14*$J$18</f>
        <v>2678.393</v>
      </c>
      <c r="G70" s="37">
        <f>$G$14*$J$22</f>
        <v>434.334</v>
      </c>
      <c r="M70" s="3"/>
    </row>
    <row r="71" spans="2:13">
      <c r="B71" s="3" t="s">
        <v>126</v>
      </c>
      <c r="C71" s="3" t="s">
        <v>125</v>
      </c>
      <c r="D71" s="37">
        <v>1780</v>
      </c>
      <c r="E71" s="3" t="s">
        <v>27</v>
      </c>
      <c r="F71" s="37">
        <f>$G$14*$I$18</f>
        <v>1809.7250000000001</v>
      </c>
      <c r="G71" s="37">
        <f>$G$14*$J$22</f>
        <v>434.334</v>
      </c>
      <c r="M71" s="3"/>
    </row>
    <row r="72" spans="2:13">
      <c r="B72" s="3" t="s">
        <v>126</v>
      </c>
      <c r="C72" s="3" t="s">
        <v>125</v>
      </c>
      <c r="D72" s="37">
        <v>1780</v>
      </c>
      <c r="E72" s="3" t="s">
        <v>71</v>
      </c>
      <c r="F72" s="37">
        <f>$G$14*$J$18</f>
        <v>2678.393</v>
      </c>
      <c r="G72" s="37">
        <f>$G$14*$J$22</f>
        <v>434.334</v>
      </c>
      <c r="M72" s="3"/>
    </row>
    <row r="73" spans="2:13">
      <c r="B73" s="3" t="s">
        <v>128</v>
      </c>
      <c r="C73" s="3" t="s">
        <v>9</v>
      </c>
      <c r="D73" s="37">
        <v>215</v>
      </c>
      <c r="E73" s="3" t="s">
        <v>27</v>
      </c>
      <c r="F73" s="37">
        <f>$G$14*$I$19</f>
        <v>1375.3910000000001</v>
      </c>
      <c r="G73" s="37">
        <v>300</v>
      </c>
      <c r="M73" s="3"/>
    </row>
    <row r="74" spans="2:13">
      <c r="B74" s="3" t="s">
        <v>128</v>
      </c>
      <c r="C74" s="3" t="s">
        <v>9</v>
      </c>
      <c r="D74" s="37">
        <v>215</v>
      </c>
      <c r="E74" s="3" t="s">
        <v>71</v>
      </c>
      <c r="F74" s="37">
        <f>$G$14*$J$19</f>
        <v>2026.8920000000001</v>
      </c>
      <c r="G74" s="37">
        <v>300</v>
      </c>
      <c r="M74" s="3"/>
    </row>
    <row r="75" spans="2:13">
      <c r="B75" s="3"/>
      <c r="C75" s="3"/>
      <c r="D75" s="3"/>
      <c r="E75" s="3"/>
      <c r="F75" s="3"/>
      <c r="G75" s="3"/>
      <c r="M75" s="3"/>
    </row>
    <row r="76" spans="2:13">
      <c r="B76" s="3"/>
      <c r="C76" s="3"/>
      <c r="D76" s="3"/>
      <c r="E76" s="3"/>
      <c r="F76" s="3"/>
      <c r="G76" s="3"/>
      <c r="M76" s="3"/>
    </row>
    <row r="77" spans="2:13">
      <c r="B77" s="3"/>
      <c r="C77" s="3"/>
      <c r="D77" s="3"/>
      <c r="E77" s="3"/>
      <c r="F77" s="3"/>
      <c r="G77" s="3"/>
      <c r="M77" s="3"/>
    </row>
    <row r="78" spans="2:13">
      <c r="B78" s="69" t="s">
        <v>131</v>
      </c>
      <c r="C78" s="70"/>
      <c r="D78" s="3"/>
      <c r="E78" s="3"/>
      <c r="F78" s="3"/>
      <c r="G78" s="3"/>
      <c r="M78" s="3"/>
    </row>
    <row r="79" spans="2:13">
      <c r="B79" s="69" t="s">
        <v>133</v>
      </c>
      <c r="C79" s="69" t="s">
        <v>132</v>
      </c>
      <c r="D79" s="3"/>
      <c r="E79" s="3"/>
      <c r="F79" s="3"/>
      <c r="G79" s="3"/>
      <c r="M79" s="3"/>
    </row>
    <row r="80" spans="2:13">
      <c r="B80" s="70" t="s">
        <v>134</v>
      </c>
      <c r="C80" s="71" t="s">
        <v>135</v>
      </c>
      <c r="D80" s="3"/>
      <c r="E80" s="3"/>
      <c r="F80" s="3"/>
      <c r="G80" s="3"/>
      <c r="M80" s="3"/>
    </row>
    <row r="81" spans="3:13">
      <c r="C81" s="68"/>
      <c r="D81" s="3"/>
      <c r="E81" s="3"/>
      <c r="F81" s="3"/>
      <c r="G81" s="3"/>
      <c r="M81" s="3"/>
    </row>
    <row r="82" spans="3:13">
      <c r="C82" s="68"/>
      <c r="D82" s="3"/>
      <c r="E82" s="3"/>
      <c r="F82" s="3"/>
      <c r="G82" s="3"/>
      <c r="M82" s="3"/>
    </row>
    <row r="83" spans="3:13">
      <c r="C83" s="68"/>
      <c r="D83" s="3"/>
      <c r="E83" s="3"/>
      <c r="F83" s="3"/>
      <c r="G83" s="3"/>
      <c r="M83" s="3"/>
    </row>
    <row r="84" spans="3:13">
      <c r="C84" s="68"/>
      <c r="D84" s="3"/>
      <c r="E84" s="3"/>
      <c r="F84" s="3"/>
      <c r="G84" s="3"/>
      <c r="M84" s="3"/>
    </row>
    <row r="85" spans="3:13">
      <c r="C85" s="68"/>
      <c r="D85" s="3"/>
      <c r="E85" s="3"/>
      <c r="F85" s="3"/>
      <c r="G85" s="3"/>
      <c r="M85" s="3"/>
    </row>
    <row r="86" spans="3:13">
      <c r="C86" s="68"/>
      <c r="D86" s="3"/>
      <c r="E86" s="3"/>
      <c r="F86" s="3"/>
      <c r="G86" s="3"/>
      <c r="M86" s="3"/>
    </row>
    <row r="87" spans="3:13">
      <c r="C87" s="68"/>
      <c r="D87" s="3"/>
      <c r="E87" s="3"/>
      <c r="F87" s="3"/>
      <c r="G87" s="3"/>
      <c r="M87" s="3"/>
    </row>
    <row r="88" spans="3:13">
      <c r="C88" s="68"/>
      <c r="D88" s="3"/>
      <c r="E88" s="3"/>
      <c r="F88" s="3"/>
      <c r="G88" s="3"/>
      <c r="M88" s="3"/>
    </row>
    <row r="89" spans="3:13">
      <c r="C89" s="68"/>
      <c r="D89" s="3"/>
      <c r="E89" s="3"/>
      <c r="F89" s="3"/>
      <c r="G89" s="3"/>
      <c r="M89" s="3"/>
    </row>
    <row r="90" spans="3:13">
      <c r="C90" s="68"/>
      <c r="D90" s="3"/>
      <c r="E90" s="3"/>
      <c r="F90" s="3"/>
      <c r="G90" s="3"/>
      <c r="M90" s="3"/>
    </row>
    <row r="91" spans="3:13">
      <c r="C91" s="68"/>
      <c r="D91" s="3"/>
      <c r="E91" s="3"/>
      <c r="F91" s="3"/>
      <c r="G91" s="3"/>
      <c r="M91" s="3"/>
    </row>
    <row r="92" spans="3:13">
      <c r="C92" s="68"/>
      <c r="D92" s="3"/>
      <c r="E92" s="3"/>
      <c r="F92" s="3"/>
      <c r="G92" s="3"/>
      <c r="M92" s="3"/>
    </row>
    <row r="93" spans="3:13">
      <c r="C93" s="68"/>
      <c r="D93" s="3"/>
      <c r="E93" s="3"/>
      <c r="F93" s="3"/>
      <c r="G93" s="3"/>
      <c r="M93" s="3"/>
    </row>
    <row r="94" spans="3:13">
      <c r="C94" s="68"/>
      <c r="D94" s="3"/>
      <c r="E94" s="3"/>
      <c r="F94" s="3"/>
      <c r="G94" s="3"/>
      <c r="M94" s="3"/>
    </row>
    <row r="95" spans="3:13">
      <c r="C95" s="68"/>
      <c r="D95" s="3"/>
      <c r="E95" s="3"/>
      <c r="F95" s="3"/>
      <c r="G95" s="3"/>
      <c r="M95" s="3"/>
    </row>
    <row r="96" spans="3:13">
      <c r="C96" s="68"/>
      <c r="D96" s="3"/>
      <c r="E96" s="3"/>
      <c r="F96" s="3"/>
      <c r="G96" s="3"/>
      <c r="M96" s="3"/>
    </row>
    <row r="97" spans="2:13">
      <c r="B97" s="3"/>
      <c r="C97" s="3"/>
      <c r="D97" s="3"/>
      <c r="E97" s="3"/>
      <c r="F97" s="3"/>
      <c r="G97" s="3"/>
      <c r="M97" s="3"/>
    </row>
    <row r="98" spans="2:13">
      <c r="B98" s="3"/>
      <c r="C98" s="3"/>
      <c r="D98" s="3"/>
      <c r="E98" s="3"/>
      <c r="F98" s="3"/>
      <c r="G98" s="3"/>
      <c r="M98" s="3"/>
    </row>
    <row r="99" spans="2:13">
      <c r="B99" s="3"/>
      <c r="C99" s="3"/>
      <c r="D99" s="3"/>
      <c r="E99" s="3"/>
      <c r="F99" s="3"/>
      <c r="G99" s="3"/>
      <c r="M99" s="3"/>
    </row>
    <row r="100" spans="2:13">
      <c r="B100" s="3"/>
      <c r="C100" s="3"/>
      <c r="D100" s="3"/>
      <c r="E100" s="3"/>
      <c r="F100" s="3"/>
      <c r="G100" s="3"/>
      <c r="M100" s="3"/>
    </row>
    <row r="101" spans="2:13">
      <c r="B101" s="3"/>
      <c r="C101" s="3"/>
      <c r="D101" s="3"/>
      <c r="E101" s="3"/>
      <c r="F101" s="3"/>
      <c r="G101" s="3"/>
      <c r="M101" s="3"/>
    </row>
    <row r="102" spans="2:13">
      <c r="B102" s="3"/>
      <c r="C102" s="3"/>
      <c r="D102" s="3"/>
      <c r="E102" s="3"/>
      <c r="F102" s="3"/>
      <c r="G102" s="3"/>
      <c r="M102" s="3"/>
    </row>
    <row r="103" spans="2:13">
      <c r="B103" s="3"/>
      <c r="C103" s="3"/>
      <c r="D103" s="3"/>
      <c r="E103" s="3"/>
      <c r="F103" s="3"/>
      <c r="G103" s="3"/>
      <c r="M103" s="3"/>
    </row>
    <row r="104" spans="2:13">
      <c r="B104" s="3"/>
      <c r="C104" s="3"/>
      <c r="D104" s="3"/>
      <c r="E104" s="3"/>
      <c r="F104" s="3"/>
      <c r="G104" s="3"/>
      <c r="M104" s="3"/>
    </row>
    <row r="105" spans="2:13">
      <c r="B105" s="3"/>
      <c r="C105" s="3"/>
      <c r="D105" s="3"/>
      <c r="E105" s="3"/>
      <c r="F105" s="3"/>
      <c r="G105" s="3"/>
      <c r="M105" s="3"/>
    </row>
    <row r="106" spans="2:13">
      <c r="B106" s="3"/>
      <c r="C106" s="3"/>
      <c r="D106" s="3"/>
      <c r="E106" s="3"/>
      <c r="F106" s="3"/>
      <c r="G106" s="3"/>
      <c r="M106" s="3"/>
    </row>
    <row r="107" spans="2:13">
      <c r="B107" s="3"/>
      <c r="C107" s="3"/>
      <c r="D107" s="3"/>
      <c r="E107" s="3"/>
      <c r="F107" s="3"/>
      <c r="G107" s="3"/>
      <c r="M107" s="3"/>
    </row>
    <row r="108" spans="2:13">
      <c r="B108" s="3"/>
      <c r="C108" s="3"/>
      <c r="D108" s="3"/>
      <c r="E108" s="3"/>
      <c r="F108" s="3"/>
      <c r="G108" s="3"/>
      <c r="M108" s="3"/>
    </row>
    <row r="109" spans="2:13">
      <c r="B109" s="3"/>
      <c r="C109" s="3"/>
      <c r="D109" s="3"/>
      <c r="E109" s="3"/>
      <c r="F109" s="3"/>
      <c r="G109" s="3"/>
      <c r="M109" s="3"/>
    </row>
    <row r="110" spans="2:13">
      <c r="B110" s="3"/>
      <c r="C110" s="3"/>
      <c r="D110" s="3"/>
      <c r="E110" s="3"/>
      <c r="F110" s="3"/>
      <c r="G110" s="3"/>
      <c r="M110" s="3"/>
    </row>
    <row r="111" spans="2:13">
      <c r="B111" s="3"/>
      <c r="C111" s="3"/>
      <c r="D111" s="3"/>
      <c r="E111" s="3"/>
      <c r="F111" s="3"/>
      <c r="G111" s="3"/>
      <c r="M111" s="3"/>
    </row>
    <row r="112" spans="2:13">
      <c r="B112" s="3"/>
      <c r="C112" s="3"/>
      <c r="D112" s="3"/>
      <c r="E112" s="3"/>
      <c r="F112" s="3"/>
      <c r="G112" s="3"/>
      <c r="M112" s="3"/>
    </row>
    <row r="113" spans="2:13">
      <c r="B113" s="3"/>
      <c r="C113" s="3"/>
      <c r="D113" s="3"/>
      <c r="E113" s="3"/>
      <c r="F113" s="3"/>
      <c r="G113" s="3"/>
      <c r="M113" s="3"/>
    </row>
    <row r="114" spans="2:13">
      <c r="B114" s="3"/>
      <c r="C114" s="3"/>
      <c r="D114" s="3"/>
      <c r="E114" s="3"/>
      <c r="F114" s="3"/>
      <c r="G114" s="3"/>
      <c r="M114" s="3"/>
    </row>
    <row r="115" spans="2:13">
      <c r="B115" s="3"/>
      <c r="C115" s="3"/>
      <c r="D115" s="3"/>
      <c r="E115" s="3"/>
      <c r="F115" s="3"/>
      <c r="G115" s="3"/>
      <c r="M115" s="3"/>
    </row>
    <row r="116" spans="2:13">
      <c r="B116" s="3"/>
      <c r="C116" s="3"/>
      <c r="D116" s="3"/>
      <c r="E116" s="3"/>
      <c r="F116" s="3"/>
      <c r="G116" s="3"/>
      <c r="M116" s="3"/>
    </row>
    <row r="117" spans="2:13">
      <c r="B117" s="3"/>
      <c r="C117" s="3"/>
      <c r="D117" s="3"/>
      <c r="E117" s="3"/>
      <c r="F117" s="3"/>
      <c r="G117" s="3"/>
      <c r="M117" s="3"/>
    </row>
    <row r="118" spans="2:13">
      <c r="B118" s="3"/>
      <c r="C118" s="3"/>
      <c r="D118" s="3"/>
      <c r="E118" s="3"/>
      <c r="F118" s="3"/>
      <c r="G118" s="3"/>
      <c r="M118" s="3"/>
    </row>
    <row r="119" spans="2:13">
      <c r="B119" s="3"/>
      <c r="C119" s="3"/>
      <c r="D119" s="3"/>
      <c r="E119" s="3"/>
      <c r="F119" s="3"/>
      <c r="G119" s="3"/>
      <c r="M119" s="3"/>
    </row>
    <row r="120" spans="2:13">
      <c r="B120" s="3"/>
      <c r="C120" s="3"/>
      <c r="D120" s="3"/>
      <c r="E120" s="3"/>
      <c r="F120" s="3"/>
      <c r="G120" s="3"/>
      <c r="M120" s="3"/>
    </row>
    <row r="121" spans="2:13">
      <c r="B121" s="3"/>
      <c r="C121" s="3"/>
      <c r="D121" s="3"/>
      <c r="E121" s="3"/>
      <c r="F121" s="3"/>
      <c r="G121" s="3"/>
      <c r="M121" s="3"/>
    </row>
    <row r="122" spans="2:13">
      <c r="B122" s="3"/>
      <c r="C122" s="3"/>
      <c r="D122" s="3"/>
      <c r="E122" s="3"/>
      <c r="F122" s="3"/>
      <c r="G122" s="3"/>
      <c r="M122" s="3"/>
    </row>
    <row r="123" spans="2:13">
      <c r="B123" s="3"/>
      <c r="C123" s="3"/>
      <c r="D123" s="3"/>
      <c r="E123" s="3"/>
      <c r="F123" s="3"/>
      <c r="G123" s="3"/>
      <c r="M123" s="3"/>
    </row>
    <row r="124" spans="2:13">
      <c r="B124" s="3"/>
      <c r="C124" s="3"/>
      <c r="D124" s="3"/>
      <c r="E124" s="3"/>
      <c r="F124" s="3"/>
      <c r="G124" s="3"/>
      <c r="M124" s="3"/>
    </row>
    <row r="125" spans="2:13">
      <c r="B125" s="3"/>
      <c r="C125" s="3"/>
      <c r="D125" s="3"/>
      <c r="E125" s="3"/>
      <c r="F125" s="3"/>
      <c r="G125" s="3"/>
      <c r="M125" s="3"/>
    </row>
    <row r="126" spans="2:13">
      <c r="B126" s="3"/>
      <c r="C126" s="3"/>
      <c r="D126" s="3"/>
      <c r="E126" s="3"/>
      <c r="F126" s="3"/>
      <c r="G126" s="3"/>
      <c r="M126" s="3"/>
    </row>
    <row r="127" spans="2:13">
      <c r="B127" s="3"/>
      <c r="C127" s="3"/>
      <c r="D127" s="3"/>
      <c r="E127" s="3"/>
      <c r="F127" s="3"/>
      <c r="G127" s="3"/>
      <c r="M127" s="3"/>
    </row>
    <row r="128" spans="2:13">
      <c r="B128" s="3"/>
      <c r="C128" s="3"/>
      <c r="D128" s="3"/>
      <c r="E128" s="3"/>
      <c r="F128" s="3"/>
      <c r="G128" s="3"/>
      <c r="M128" s="3"/>
    </row>
    <row r="129" spans="2:13">
      <c r="B129" s="3"/>
      <c r="C129" s="3"/>
      <c r="D129" s="3"/>
      <c r="E129" s="3"/>
      <c r="F129" s="3"/>
      <c r="G129" s="3"/>
      <c r="M129" s="3"/>
    </row>
    <row r="130" spans="2:13">
      <c r="B130" s="3"/>
      <c r="C130" s="3"/>
      <c r="D130" s="3"/>
      <c r="E130" s="3"/>
      <c r="F130" s="3"/>
      <c r="G130" s="3"/>
      <c r="M130" s="3"/>
    </row>
    <row r="131" spans="2:13">
      <c r="B131" s="3"/>
      <c r="C131" s="3"/>
      <c r="D131" s="3"/>
      <c r="E131" s="3"/>
      <c r="F131" s="3"/>
      <c r="G131" s="3"/>
      <c r="M131" s="3"/>
    </row>
    <row r="132" spans="2:13">
      <c r="B132" s="3"/>
      <c r="C132" s="3"/>
      <c r="D132" s="3"/>
      <c r="E132" s="3"/>
      <c r="F132" s="3"/>
      <c r="G132" s="3"/>
      <c r="M132" s="3"/>
    </row>
    <row r="133" spans="2:13">
      <c r="B133" s="3"/>
      <c r="C133" s="3"/>
      <c r="D133" s="3"/>
      <c r="E133" s="3"/>
      <c r="F133" s="3"/>
      <c r="G133" s="3"/>
      <c r="M133" s="3"/>
    </row>
    <row r="134" spans="2:13">
      <c r="B134" s="3"/>
      <c r="C134" s="3"/>
      <c r="D134" s="3"/>
      <c r="E134" s="3"/>
      <c r="F134" s="3"/>
      <c r="G134" s="3"/>
      <c r="M134" s="3"/>
    </row>
    <row r="135" spans="2:13">
      <c r="B135" s="3"/>
      <c r="C135" s="3"/>
      <c r="D135" s="3"/>
      <c r="E135" s="3"/>
      <c r="F135" s="3"/>
      <c r="G135" s="3"/>
      <c r="M135" s="3"/>
    </row>
    <row r="136" spans="2:13">
      <c r="B136" s="3"/>
      <c r="C136" s="3"/>
      <c r="D136" s="3"/>
      <c r="E136" s="3"/>
      <c r="F136" s="3"/>
      <c r="G136" s="3"/>
      <c r="M136" s="3"/>
    </row>
    <row r="137" spans="2:13">
      <c r="B137" s="3"/>
      <c r="C137" s="3"/>
      <c r="D137" s="3"/>
      <c r="E137" s="3"/>
      <c r="F137" s="3"/>
      <c r="G137" s="3"/>
      <c r="M137" s="3"/>
    </row>
    <row r="138" spans="2:13">
      <c r="B138" s="3"/>
      <c r="C138" s="3"/>
      <c r="D138" s="3"/>
      <c r="E138" s="3"/>
      <c r="F138" s="3"/>
      <c r="G138" s="3"/>
      <c r="M138" s="3"/>
    </row>
    <row r="139" spans="2:13">
      <c r="B139" s="3"/>
      <c r="C139" s="3"/>
      <c r="D139" s="3"/>
      <c r="E139" s="3"/>
      <c r="F139" s="3"/>
      <c r="G139" s="3"/>
      <c r="M139" s="3"/>
    </row>
    <row r="140" spans="2:13">
      <c r="B140" s="3"/>
      <c r="C140" s="3"/>
      <c r="D140" s="3"/>
      <c r="E140" s="3"/>
      <c r="F140" s="3"/>
      <c r="G140" s="3"/>
      <c r="M140" s="3"/>
    </row>
    <row r="141" spans="2:13">
      <c r="B141" s="3"/>
      <c r="C141" s="3"/>
      <c r="D141" s="3"/>
      <c r="E141" s="3"/>
      <c r="F141" s="3"/>
      <c r="G141" s="3"/>
      <c r="M141" s="3"/>
    </row>
    <row r="142" spans="2:13">
      <c r="B142" s="3"/>
      <c r="C142" s="3"/>
      <c r="D142" s="3"/>
      <c r="E142" s="3"/>
      <c r="F142" s="3"/>
      <c r="G142" s="3"/>
      <c r="M142" s="3"/>
    </row>
    <row r="143" spans="2:13">
      <c r="B143" s="3"/>
      <c r="C143" s="3"/>
      <c r="D143" s="3"/>
      <c r="E143" s="3"/>
      <c r="F143" s="3"/>
      <c r="G143" s="3"/>
      <c r="M143" s="3"/>
    </row>
    <row r="144" spans="2:13">
      <c r="B144" s="3"/>
      <c r="C144" s="3"/>
      <c r="D144" s="3"/>
      <c r="E144" s="3"/>
      <c r="F144" s="3"/>
      <c r="G144" s="3"/>
      <c r="M144" s="3"/>
    </row>
    <row r="145" spans="2:13">
      <c r="B145" s="3"/>
      <c r="C145" s="3"/>
      <c r="D145" s="3"/>
      <c r="E145" s="3"/>
      <c r="F145" s="3"/>
      <c r="G145" s="3"/>
      <c r="M145" s="3"/>
    </row>
    <row r="146" spans="2:13">
      <c r="B146" s="3"/>
      <c r="C146" s="3"/>
      <c r="D146" s="3"/>
      <c r="E146" s="3"/>
      <c r="F146" s="3"/>
      <c r="G146" s="3"/>
      <c r="M146" s="3"/>
    </row>
    <row r="147" spans="2:13">
      <c r="B147" s="3"/>
      <c r="C147" s="3"/>
      <c r="D147" s="3"/>
      <c r="E147" s="3"/>
      <c r="F147" s="3"/>
      <c r="G147" s="3"/>
      <c r="M147" s="3"/>
    </row>
    <row r="148" spans="2:13">
      <c r="B148" s="3"/>
      <c r="C148" s="3"/>
      <c r="D148" s="3"/>
      <c r="E148" s="3"/>
      <c r="F148" s="3"/>
      <c r="G148" s="3"/>
      <c r="M148" s="3"/>
    </row>
    <row r="149" spans="2:13">
      <c r="B149" s="3"/>
      <c r="C149" s="3"/>
      <c r="D149" s="3"/>
      <c r="E149" s="3"/>
      <c r="F149" s="3"/>
      <c r="G149" s="3"/>
      <c r="M149" s="3"/>
    </row>
    <row r="150" spans="2:13">
      <c r="B150" s="3"/>
      <c r="C150" s="3"/>
      <c r="D150" s="3"/>
      <c r="E150" s="3"/>
      <c r="F150" s="3"/>
      <c r="G150" s="3"/>
      <c r="M150" s="3"/>
    </row>
    <row r="151" spans="2:13">
      <c r="B151" s="3"/>
      <c r="C151" s="3"/>
      <c r="D151" s="3"/>
      <c r="E151" s="3"/>
      <c r="F151" s="3"/>
      <c r="G151" s="3"/>
      <c r="M151" s="3"/>
    </row>
    <row r="152" spans="2:13">
      <c r="B152" s="3"/>
      <c r="C152" s="3"/>
      <c r="D152" s="3"/>
      <c r="E152" s="3"/>
      <c r="F152" s="3"/>
      <c r="G152" s="3"/>
      <c r="M152" s="3"/>
    </row>
    <row r="153" spans="2:13">
      <c r="B153" s="3"/>
      <c r="C153" s="3"/>
      <c r="D153" s="3"/>
      <c r="E153" s="3"/>
      <c r="F153" s="3"/>
      <c r="G153" s="3"/>
      <c r="M153" s="3"/>
    </row>
    <row r="154" spans="2:13">
      <c r="B154" s="3"/>
      <c r="C154" s="3"/>
      <c r="D154" s="3"/>
      <c r="E154" s="3"/>
      <c r="F154" s="3"/>
      <c r="G154" s="3"/>
      <c r="M154" s="3"/>
    </row>
    <row r="155" spans="2:13">
      <c r="B155" s="3"/>
      <c r="C155" s="3"/>
      <c r="D155" s="3"/>
      <c r="E155" s="3"/>
      <c r="F155" s="3"/>
      <c r="G155" s="3"/>
      <c r="M155" s="3"/>
    </row>
    <row r="156" spans="2:13">
      <c r="B156" s="3"/>
      <c r="C156" s="3"/>
      <c r="D156" s="3"/>
      <c r="E156" s="3"/>
      <c r="F156" s="3"/>
      <c r="G156" s="3"/>
      <c r="M156" s="3"/>
    </row>
    <row r="157" spans="2:13">
      <c r="B157" s="3"/>
      <c r="C157" s="3"/>
      <c r="D157" s="3"/>
      <c r="E157" s="3"/>
      <c r="F157" s="3"/>
      <c r="G157" s="3"/>
      <c r="M157" s="3"/>
    </row>
    <row r="158" spans="2:13">
      <c r="B158" s="3"/>
      <c r="C158" s="3"/>
      <c r="D158" s="3"/>
      <c r="E158" s="3"/>
      <c r="F158" s="3"/>
      <c r="G158" s="3"/>
      <c r="M158" s="3"/>
    </row>
    <row r="159" spans="2:13">
      <c r="B159" s="3"/>
      <c r="C159" s="3"/>
      <c r="D159" s="3"/>
      <c r="E159" s="3"/>
      <c r="F159" s="3"/>
      <c r="G159" s="3"/>
      <c r="M159" s="3"/>
    </row>
    <row r="160" spans="2:13">
      <c r="B160" s="3"/>
      <c r="C160" s="3"/>
      <c r="D160" s="3"/>
      <c r="E160" s="3"/>
      <c r="F160" s="3"/>
      <c r="G160" s="3"/>
      <c r="M160" s="3"/>
    </row>
    <row r="161" spans="2:13">
      <c r="B161" s="3"/>
      <c r="C161" s="3"/>
      <c r="D161" s="3"/>
      <c r="E161" s="3"/>
      <c r="F161" s="3"/>
      <c r="G161" s="3"/>
      <c r="M161" s="3"/>
    </row>
    <row r="162" spans="2:13">
      <c r="B162" s="3"/>
      <c r="C162" s="3"/>
      <c r="D162" s="3"/>
      <c r="E162" s="3"/>
      <c r="F162" s="3"/>
      <c r="G162" s="3"/>
      <c r="M162" s="3"/>
    </row>
    <row r="163" spans="2:13">
      <c r="B163" s="3"/>
      <c r="C163" s="3"/>
      <c r="D163" s="3"/>
      <c r="E163" s="3"/>
      <c r="F163" s="3"/>
      <c r="G163" s="3"/>
      <c r="M163" s="3"/>
    </row>
    <row r="164" spans="2:13">
      <c r="B164" s="3"/>
      <c r="C164" s="3"/>
      <c r="D164" s="3"/>
      <c r="E164" s="3"/>
      <c r="F164" s="3"/>
      <c r="G164" s="3"/>
      <c r="M164" s="3"/>
    </row>
    <row r="165" spans="2:13">
      <c r="B165" s="3"/>
      <c r="C165" s="3"/>
      <c r="D165" s="3"/>
      <c r="E165" s="3"/>
      <c r="F165" s="3"/>
      <c r="G165" s="3"/>
      <c r="M165" s="3"/>
    </row>
    <row r="166" spans="2:13">
      <c r="B166" s="3"/>
      <c r="C166" s="3"/>
      <c r="D166" s="3"/>
      <c r="E166" s="3"/>
      <c r="F166" s="3"/>
      <c r="G166" s="3"/>
      <c r="M166" s="3"/>
    </row>
    <row r="167" spans="2:13">
      <c r="B167" s="3"/>
      <c r="C167" s="3"/>
      <c r="D167" s="3"/>
      <c r="E167" s="3"/>
      <c r="F167" s="3"/>
      <c r="G167" s="3"/>
      <c r="M167" s="3"/>
    </row>
    <row r="168" spans="2:13">
      <c r="B168" s="3"/>
      <c r="C168" s="3"/>
      <c r="D168" s="3"/>
      <c r="E168" s="3"/>
      <c r="F168" s="3"/>
      <c r="G168" s="3"/>
      <c r="M168" s="3"/>
    </row>
    <row r="169" spans="2:13">
      <c r="B169" s="3"/>
      <c r="C169" s="3"/>
      <c r="D169" s="3"/>
      <c r="E169" s="3"/>
      <c r="F169" s="3"/>
      <c r="G169" s="3"/>
      <c r="M169" s="3"/>
    </row>
    <row r="170" spans="2:13">
      <c r="B170" s="3"/>
      <c r="C170" s="3"/>
      <c r="D170" s="3"/>
      <c r="E170" s="3"/>
      <c r="F170" s="3"/>
      <c r="G170" s="3"/>
      <c r="M170" s="3"/>
    </row>
    <row r="171" spans="2:13">
      <c r="B171" s="3"/>
      <c r="C171" s="3"/>
      <c r="D171" s="3"/>
      <c r="E171" s="3"/>
      <c r="F171" s="3"/>
      <c r="G171" s="3"/>
      <c r="M171" s="3"/>
    </row>
    <row r="172" spans="2:13">
      <c r="B172" s="3"/>
      <c r="C172" s="3"/>
      <c r="D172" s="3"/>
      <c r="E172" s="3"/>
      <c r="F172" s="3"/>
      <c r="G172" s="3"/>
      <c r="M172" s="3"/>
    </row>
    <row r="173" spans="2:13">
      <c r="B173" s="3"/>
      <c r="C173" s="3"/>
      <c r="D173" s="3"/>
      <c r="E173" s="3"/>
      <c r="F173" s="3"/>
      <c r="G173" s="3"/>
      <c r="M173" s="3"/>
    </row>
    <row r="174" spans="2:13">
      <c r="B174" s="3"/>
      <c r="C174" s="3"/>
      <c r="D174" s="3"/>
      <c r="E174" s="3"/>
      <c r="F174" s="3"/>
      <c r="G174" s="3"/>
      <c r="M174" s="3"/>
    </row>
    <row r="175" spans="2:13">
      <c r="B175" s="3"/>
      <c r="C175" s="3"/>
      <c r="D175" s="3"/>
      <c r="E175" s="3"/>
      <c r="F175" s="3"/>
      <c r="G175" s="3"/>
      <c r="M175" s="3"/>
    </row>
    <row r="176" spans="2:13">
      <c r="B176" s="3"/>
      <c r="C176" s="3"/>
      <c r="D176" s="3"/>
      <c r="E176" s="3"/>
      <c r="F176" s="3"/>
      <c r="G176" s="3"/>
      <c r="M176" s="3"/>
    </row>
    <row r="177" spans="2:13">
      <c r="B177" s="3"/>
      <c r="C177" s="3"/>
      <c r="D177" s="3"/>
      <c r="E177" s="3"/>
      <c r="F177" s="3"/>
      <c r="G177" s="3"/>
      <c r="M177" s="3"/>
    </row>
    <row r="178" spans="2:13">
      <c r="B178" s="3"/>
      <c r="C178" s="3"/>
      <c r="D178" s="3"/>
      <c r="E178" s="3"/>
      <c r="F178" s="3"/>
      <c r="G178" s="3"/>
      <c r="M178" s="3"/>
    </row>
    <row r="179" spans="2:13">
      <c r="B179" s="3"/>
      <c r="C179" s="3"/>
      <c r="D179" s="3"/>
      <c r="E179" s="3"/>
      <c r="F179" s="3"/>
      <c r="G179" s="3"/>
      <c r="M179" s="3"/>
    </row>
    <row r="180" spans="2:13">
      <c r="B180" s="3"/>
      <c r="C180" s="3"/>
      <c r="D180" s="3"/>
      <c r="E180" s="3"/>
      <c r="F180" s="3"/>
      <c r="G180" s="3"/>
      <c r="M180" s="3"/>
    </row>
    <row r="181" spans="2:13">
      <c r="B181" s="3"/>
      <c r="C181" s="3"/>
      <c r="D181" s="3"/>
      <c r="E181" s="3"/>
      <c r="F181" s="3"/>
      <c r="G181" s="3"/>
      <c r="M181" s="3"/>
    </row>
    <row r="182" spans="2:13">
      <c r="B182" s="3"/>
      <c r="C182" s="3"/>
      <c r="D182" s="3"/>
      <c r="E182" s="3"/>
      <c r="F182" s="3"/>
      <c r="G182" s="3"/>
      <c r="M182" s="3"/>
    </row>
    <row r="183" spans="2:13">
      <c r="B183" s="3"/>
      <c r="C183" s="3"/>
      <c r="D183" s="3"/>
      <c r="E183" s="3"/>
      <c r="F183" s="3"/>
      <c r="G183" s="3"/>
      <c r="M183" s="3"/>
    </row>
    <row r="184" spans="2:13">
      <c r="B184" s="3"/>
      <c r="C184" s="3"/>
      <c r="D184" s="3"/>
      <c r="E184" s="3"/>
      <c r="F184" s="3"/>
      <c r="G184" s="3"/>
      <c r="M184" s="3"/>
    </row>
    <row r="185" spans="2:13">
      <c r="B185" s="3"/>
      <c r="C185" s="3"/>
      <c r="D185" s="3"/>
      <c r="E185" s="3"/>
      <c r="F185" s="3"/>
      <c r="G185" s="3"/>
      <c r="M185" s="3"/>
    </row>
    <row r="186" spans="2:13">
      <c r="B186" s="3"/>
      <c r="C186" s="3"/>
      <c r="D186" s="3"/>
      <c r="E186" s="3"/>
      <c r="F186" s="3"/>
      <c r="G186" s="3"/>
      <c r="M186" s="3"/>
    </row>
    <row r="187" spans="2:13">
      <c r="B187" s="3"/>
      <c r="C187" s="3"/>
      <c r="D187" s="3"/>
      <c r="E187" s="3"/>
      <c r="F187" s="3"/>
      <c r="G187" s="3"/>
      <c r="M187" s="3"/>
    </row>
    <row r="188" spans="2:13">
      <c r="B188" s="3"/>
      <c r="C188" s="3"/>
      <c r="D188" s="3"/>
      <c r="E188" s="3"/>
      <c r="F188" s="3"/>
      <c r="G188" s="3"/>
      <c r="M188" s="3"/>
    </row>
    <row r="189" spans="2:13">
      <c r="B189" s="3"/>
      <c r="C189" s="3"/>
      <c r="D189" s="3"/>
      <c r="E189" s="3"/>
      <c r="F189" s="3"/>
      <c r="G189" s="3"/>
      <c r="M189" s="3"/>
    </row>
    <row r="190" spans="2:13">
      <c r="B190" s="3"/>
      <c r="C190" s="3"/>
      <c r="D190" s="3"/>
      <c r="E190" s="3"/>
      <c r="F190" s="3"/>
      <c r="G190" s="3"/>
      <c r="M190" s="3"/>
    </row>
    <row r="191" spans="2:13">
      <c r="B191" s="3"/>
      <c r="C191" s="3"/>
      <c r="D191" s="3"/>
      <c r="E191" s="3"/>
      <c r="F191" s="3"/>
      <c r="G191" s="3"/>
      <c r="M191" s="3"/>
    </row>
    <row r="192" spans="2:13">
      <c r="B192" s="3"/>
      <c r="C192" s="3"/>
      <c r="D192" s="3"/>
      <c r="E192" s="3"/>
      <c r="F192" s="3"/>
      <c r="G192" s="3"/>
      <c r="M192" s="3"/>
    </row>
    <row r="193" spans="2:13">
      <c r="B193" s="3"/>
      <c r="C193" s="3"/>
      <c r="D193" s="3"/>
      <c r="E193" s="3"/>
      <c r="F193" s="3"/>
      <c r="G193" s="3"/>
      <c r="M193" s="3"/>
    </row>
    <row r="194" spans="2:13">
      <c r="B194" s="3"/>
      <c r="C194" s="3"/>
      <c r="D194" s="3"/>
      <c r="E194" s="3"/>
      <c r="F194" s="3"/>
      <c r="G194" s="3"/>
      <c r="M194" s="3"/>
    </row>
    <row r="195" spans="2:13">
      <c r="B195" s="3"/>
      <c r="C195" s="3"/>
      <c r="D195" s="3"/>
      <c r="E195" s="3"/>
      <c r="F195" s="3"/>
      <c r="G195" s="3"/>
      <c r="M195" s="3"/>
    </row>
    <row r="196" spans="2:13">
      <c r="B196" s="3"/>
      <c r="C196" s="3"/>
      <c r="D196" s="3"/>
      <c r="E196" s="3"/>
      <c r="F196" s="3"/>
      <c r="G196" s="3"/>
      <c r="M196" s="3"/>
    </row>
    <row r="197" spans="2:13">
      <c r="B197" s="3"/>
      <c r="C197" s="3"/>
      <c r="D197" s="3"/>
      <c r="E197" s="3"/>
      <c r="F197" s="3"/>
      <c r="G197" s="3"/>
      <c r="M197" s="3"/>
    </row>
    <row r="198" spans="2:13">
      <c r="B198" s="3"/>
      <c r="C198" s="3"/>
      <c r="D198" s="3"/>
      <c r="E198" s="3"/>
      <c r="F198" s="3"/>
      <c r="G198" s="3"/>
      <c r="M198" s="3"/>
    </row>
    <row r="199" spans="2:13">
      <c r="B199" s="3"/>
      <c r="C199" s="3"/>
      <c r="D199" s="3"/>
      <c r="E199" s="3"/>
      <c r="F199" s="3"/>
      <c r="G199" s="3"/>
      <c r="M199" s="3"/>
    </row>
    <row r="200" spans="2:13">
      <c r="B200" s="3"/>
      <c r="C200" s="3"/>
      <c r="D200" s="3"/>
      <c r="E200" s="3"/>
      <c r="F200" s="3"/>
      <c r="G200" s="3"/>
      <c r="M200" s="3"/>
    </row>
    <row r="201" spans="2:13">
      <c r="B201" s="3"/>
      <c r="C201" s="3"/>
      <c r="D201" s="3"/>
      <c r="E201" s="3"/>
      <c r="F201" s="3"/>
      <c r="G201" s="3"/>
      <c r="M201" s="3"/>
    </row>
    <row r="202" spans="2:13">
      <c r="B202" s="3"/>
      <c r="C202" s="3"/>
      <c r="D202" s="3"/>
      <c r="E202" s="3"/>
      <c r="F202" s="3"/>
      <c r="G202" s="3"/>
      <c r="M202" s="3"/>
    </row>
    <row r="203" spans="2:13">
      <c r="B203" s="3"/>
      <c r="C203" s="3"/>
      <c r="D203" s="3"/>
      <c r="E203" s="3"/>
      <c r="F203" s="3"/>
      <c r="G203" s="3"/>
      <c r="M203" s="3"/>
    </row>
    <row r="204" spans="2:13">
      <c r="B204" s="3"/>
      <c r="C204" s="3"/>
      <c r="D204" s="3"/>
      <c r="E204" s="3"/>
      <c r="F204" s="3"/>
      <c r="G204" s="3"/>
      <c r="M204" s="3"/>
    </row>
    <row r="205" spans="2:13">
      <c r="B205" s="3"/>
      <c r="C205" s="3"/>
      <c r="D205" s="3"/>
      <c r="E205" s="3"/>
      <c r="F205" s="3"/>
      <c r="G205" s="3"/>
      <c r="M205" s="3"/>
    </row>
    <row r="206" spans="2:13">
      <c r="B206" s="3"/>
      <c r="C206" s="3"/>
      <c r="D206" s="3"/>
      <c r="E206" s="3"/>
      <c r="F206" s="3"/>
      <c r="G206" s="3"/>
      <c r="M206" s="3"/>
    </row>
    <row r="207" spans="2:13">
      <c r="B207" s="3"/>
      <c r="C207" s="3"/>
      <c r="D207" s="3"/>
      <c r="E207" s="3"/>
      <c r="F207" s="3"/>
      <c r="G207" s="3"/>
      <c r="M207" s="3"/>
    </row>
    <row r="208" spans="2:13">
      <c r="B208" s="3"/>
      <c r="C208" s="3"/>
      <c r="D208" s="3"/>
      <c r="E208" s="3"/>
      <c r="F208" s="3"/>
      <c r="G208" s="3"/>
      <c r="M208" s="3"/>
    </row>
  </sheetData>
  <mergeCells count="3">
    <mergeCell ref="C2:H2"/>
    <mergeCell ref="I15:J15"/>
    <mergeCell ref="I20:J20"/>
  </mergeCells>
  <phoneticPr fontId="18" type="noConversion"/>
  <dataValidations count="4">
    <dataValidation type="list" showInputMessage="1" showErrorMessage="1" sqref="D3" xr:uid="{6FCF903B-EFBB-6D43-A20D-2714A1EF4768}">
      <formula1>"深圳,北京,广州,"</formula1>
    </dataValidation>
    <dataValidation type="list" showInputMessage="1" showErrorMessage="1" sqref="F3" xr:uid="{B48BFC21-5C00-4444-A25C-F4782B03E280}">
      <formula1>"印尼雅加达,泰国曼谷,新加坡,马来西亚吉隆坡,日本东京,韩国首尔,英国伦敦,法国巴黎,德国慕尼黑,德国法兰克福,美国洛杉矶,美国旧金山,阿联酋迪拜,沙特阿拉伯,中国香港,"</formula1>
    </dataValidation>
    <dataValidation type="list" allowBlank="1" showInputMessage="1" showErrorMessage="1" sqref="D7" xr:uid="{7C9B7E48-4370-3642-84C1-4391027E03E6}">
      <formula1>"5,6,7,8,9,10,11,12,13,14,L1-1,L1-2,L2-1,L2-2"</formula1>
    </dataValidation>
    <dataValidation type="list" allowBlank="1" showInputMessage="1" showErrorMessage="1" sqref="D4" xr:uid="{3AAF9748-D538-FA45-90D3-9242B39F8EFA}">
      <formula1>"1,2,3,4,5,6"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国际差旅</vt:lpstr>
      <vt:lpstr>国际派驻</vt:lpstr>
      <vt:lpstr>LTBS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T138700</cp:lastModifiedBy>
  <dcterms:created xsi:type="dcterms:W3CDTF">2026-04-08T22:19:43Z</dcterms:created>
  <dcterms:modified xsi:type="dcterms:W3CDTF">2026-04-09T07:22:00Z</dcterms:modified>
</cp:coreProperties>
</file>